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fig" sheetId="2" state="hidden" r:id="rId2"/>
    <sheet name="Entrada" sheetId="3" state="visible" r:id="rId3"/>
    <sheet name="Jan" sheetId="4" state="visible" r:id="rId4"/>
    <sheet name="Fev" sheetId="5" state="visible" r:id="rId5"/>
    <sheet name="Mar" sheetId="6" state="visible" r:id="rId6"/>
    <sheet name="Abr" sheetId="7" state="visible" r:id="rId7"/>
    <sheet name="Mai" sheetId="8" state="visible" r:id="rId8"/>
    <sheet name="Jun" sheetId="9" state="visible" r:id="rId9"/>
    <sheet name="Jul" sheetId="10" state="visible" r:id="rId10"/>
    <sheet name="Ago" sheetId="11" state="visible" r:id="rId11"/>
    <sheet name="Set" sheetId="12" state="visible" r:id="rId12"/>
    <sheet name="Out" sheetId="13" state="visible" r:id="rId13"/>
    <sheet name="Nov" sheetId="14" state="visible" r:id="rId14"/>
    <sheet name="Dez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C3E50"/>
      <sz val="24"/>
    </font>
    <font>
      <name val="Arial"/>
      <b val="1"/>
      <color rgb="007F8C8D"/>
      <sz val="12"/>
    </font>
    <font>
      <name val="Arial"/>
      <b val="1"/>
      <color rgb="002C3E50"/>
      <sz val="28"/>
    </font>
    <font>
      <name val="Arial"/>
      <b val="1"/>
      <sz val="2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14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top style="thin">
        <color rgb="00BDC3C7"/>
      </top>
    </border>
    <border>
      <left style="thin">
        <color rgb="00BDC3C7"/>
      </left>
      <top style="thin">
        <color rgb="00BDC3C7"/>
      </top>
      <bottom style="thin">
        <color rgb="00C0A062"/>
      </bottom>
    </border>
    <border>
      <top style="thin">
        <color rgb="00BDC3C7"/>
      </top>
    </border>
    <border>
      <top style="thin">
        <color rgb="00BDC3C7"/>
      </top>
      <bottom style="thin">
        <color rgb="00C0A062"/>
      </bottom>
    </border>
    <border>
      <right style="thin">
        <color rgb="00BDC3C7"/>
      </right>
      <top style="thin">
        <color rgb="00BDC3C7"/>
      </top>
    </border>
    <border>
      <right style="thin">
        <color rgb="00BDC3C7"/>
      </right>
      <top style="thin">
        <color rgb="00BDC3C7"/>
      </top>
      <bottom style="thin">
        <color rgb="00C0A062"/>
      </bottom>
    </border>
    <border>
      <left style="thin">
        <color rgb="00BDC3C7"/>
      </left>
    </border>
    <border/>
    <border>
      <right style="thin">
        <color rgb="00BDC3C7"/>
      </right>
    </border>
    <border>
      <left style="thin">
        <color rgb="00BDC3C7"/>
      </left>
      <bottom style="thin">
        <color rgb="00BDC3C7"/>
      </bottom>
    </border>
    <border>
      <bottom style="thin">
        <color rgb="00BDC3C7"/>
      </bottom>
    </border>
    <border>
      <right style="thin">
        <color rgb="00BDC3C7"/>
      </right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4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1" fontId="5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9" fontId="5" fillId="0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6">
    <dxf>
      <font>
        <b val="1"/>
        <color rgb="0027AE60"/>
        <sz val="20"/>
      </font>
    </dxf>
    <dxf>
      <font>
        <b val="1"/>
        <color rgb="002980B9"/>
        <sz val="20"/>
      </font>
    </dxf>
    <dxf>
      <font>
        <b val="1"/>
        <color rgb="00C0392B"/>
        <sz val="20"/>
      </font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3" customWidth="1" min="5" max="5"/>
    <col width="15" customWidth="1" min="6" max="6"/>
    <col width="15" customWidth="1" min="7" max="7"/>
    <col width="15" customWidth="1" min="8" max="8"/>
    <col width="3" customWidth="1" min="9" max="9"/>
    <col width="15" customWidth="1" min="10" max="10"/>
    <col width="15" customWidth="1" min="11" max="11"/>
    <col width="15" customWidth="1" min="12" max="12"/>
  </cols>
  <sheetData>
    <row r="2">
      <c r="B2" s="1" t="inlineStr">
        <is>
          <t>DASHBOARD - GESTÃO DE PROTOCOLOS</t>
        </is>
      </c>
    </row>
    <row r="5">
      <c r="B5" s="2" t="inlineStr">
        <is>
          <t>TOTAL PROTOCOLOS</t>
        </is>
      </c>
      <c r="C5" s="3" t="n"/>
      <c r="D5" s="4" t="n"/>
      <c r="F5" s="2" t="inlineStr">
        <is>
          <t>FINALIZADAS</t>
        </is>
      </c>
      <c r="G5" s="3" t="n"/>
      <c r="H5" s="4" t="n"/>
      <c r="J5" s="2" t="inlineStr">
        <is>
          <t>% META BATIDA</t>
        </is>
      </c>
      <c r="K5" s="3" t="n"/>
      <c r="L5" s="4" t="n"/>
    </row>
    <row r="6">
      <c r="B6" s="5">
        <f>COUNTA(Entrada!A:A)-1 + (COUNTA(Jan!A:A)-1)+(COUNTA(Fev!A:A)-1)+(COUNTA(Mar!A:A)-1)+(COUNTA(Abr!A:A)-1)+(COUNTA(Mai!A:A)-1)+(COUNTA(Jun!A:A)-1)+(COUNTA(Jul!A:A)-1)+(COUNTA(Ago!A:A)-1)+(COUNTA(Set!A:A)-1)+(COUNTA(Out!A:A)-1)+(COUNTA(Nov!A:A)-1)+(COUNTA(Dez!A:A)-1)</f>
        <v/>
      </c>
      <c r="C6" s="6" t="n"/>
      <c r="D6" s="7" t="n"/>
      <c r="F6" s="5">
        <f>(COUNTA(Jan!A:A)-1)+(COUNTA(Fev!A:A)-1)+(COUNTA(Mar!A:A)-1)+(COUNTA(Abr!A:A)-1)+(COUNTA(Mai!A:A)-1)+(COUNTA(Jun!A:A)-1)+(COUNTA(Jul!A:A)-1)+(COUNTA(Ago!A:A)-1)+(COUNTA(Set!A:A)-1)+(COUNTA(Out!A:A)-1)+(COUNTA(Nov!A:A)-1)+(COUNTA(Dez!A:A)-1)</f>
        <v/>
      </c>
      <c r="G6" s="6" t="n"/>
      <c r="H6" s="7" t="n"/>
      <c r="J6" s="8">
        <f>IFERROR(=(COUNTA(Jan!A:A)-1)+(COUNTA(Fev!A:A)-1)+(COUNTA(Mar!A:A)-1)+(COUNTA(Abr!A:A)-1)+(COUNTA(Mai!A:A)-1)+(COUNTA(Jun!A:A)-1)+(COUNTA(Jul!A:A)-1)+(COUNTA(Ago!A:A)-1)+(COUNTA(Set!A:A)-1)+(COUNTA(Out!A:A)-1)+(COUNTA(Nov!A:A)-1)+(COUNTA(Dez!A:A)-1) / =COUNTA(Entrada!A:A)-1 + (COUNTA(Jan!A:A)-1)+(COUNTA(Fev!A:A)-1)+(COUNTA(Mar!A:A)-1)+(COUNTA(Abr!A:A)-1)+(COUNTA(Mai!A:A)-1)+(COUNTA(Jun!A:A)-1)+(COUNTA(Jul!A:A)-1)+(COUNTA(Ago!A:A)-1)+(COUNTA(Set!A:A)-1)+(COUNTA(Out!A:A)-1)+(COUNTA(Nov!A:A)-1)+(COUNTA(Dez!A:A)-1), 0)</f>
        <v/>
      </c>
      <c r="K6" s="6" t="n"/>
      <c r="L6" s="7" t="n"/>
    </row>
    <row r="7">
      <c r="B7" s="9" t="n"/>
      <c r="C7" s="10" t="n"/>
      <c r="D7" s="11" t="n"/>
      <c r="F7" s="9" t="n"/>
      <c r="G7" s="10" t="n"/>
      <c r="H7" s="11" t="n"/>
      <c r="J7" s="9" t="n"/>
      <c r="K7" s="10" t="n"/>
      <c r="L7" s="11" t="n"/>
    </row>
    <row r="10">
      <c r="B10" s="12" t="inlineStr">
        <is>
          <t>STATUS DA META</t>
        </is>
      </c>
    </row>
    <row r="11">
      <c r="B11" s="13">
        <f>IF(=IFERROR(=(COUNTA(Jan!A:A)-1)+(COUNTA(Fev!A:A)-1)+(COUNTA(Mar!A:A)-1)+(COUNTA(Abr!A:A)-1)+(COUNTA(Mai!A:A)-1)+(COUNTA(Jun!A:A)-1)+(COUNTA(Jul!A:A)-1)+(COUNTA(Ago!A:A)-1)+(COUNTA(Set!A:A)-1)+(COUNTA(Out!A:A)-1)+(COUNTA(Nov!A:A)-1)+(COUNTA(Dez!A:A)-1) / =COUNTA(Entrada!A:A)-1 + (COUNTA(Jan!A:A)-1)+(COUNTA(Fev!A:A)-1)+(COUNTA(Mar!A:A)-1)+(COUNTA(Abr!A:A)-1)+(COUNTA(Mai!A:A)-1)+(COUNTA(Jun!A:A)-1)+(COUNTA(Jul!A:A)-1)+(COUNTA(Ago!A:A)-1)+(COUNTA(Set!A:A)-1)+(COUNTA(Out!A:A)-1)+(COUNTA(Nov!A:A)-1)+(COUNTA(Dez!A:A)-1), 0)=1, "SUPERMETA 🚀", IF(=IFERROR(=(COUNTA(Jan!A:A)-1)+(COUNTA(Fev!A:A)-1)+(COUNTA(Mar!A:A)-1)+(COUNTA(Abr!A:A)-1)+(COUNTA(Mai!A:A)-1)+(COUNTA(Jun!A:A)-1)+(COUNTA(Jul!A:A)-1)+(COUNTA(Ago!A:A)-1)+(COUNTA(Set!A:A)-1)+(COUNTA(Out!A:A)-1)+(COUNTA(Nov!A:A)-1)+(COUNTA(Dez!A:A)-1) / =COUNTA(Entrada!A:A)-1 + (COUNTA(Jan!A:A)-1)+(COUNTA(Fev!A:A)-1)+(COUNTA(Mar!A:A)-1)+(COUNTA(Abr!A:A)-1)+(COUNTA(Mai!A:A)-1)+(COUNTA(Jun!A:A)-1)+(COUNTA(Jul!A:A)-1)+(COUNTA(Ago!A:A)-1)+(COUNTA(Set!A:A)-1)+(COUNTA(Out!A:A)-1)+(COUNTA(Nov!A:A)-1)+(COUNTA(Dez!A:A)-1), 0)&gt;=0.8, "META BATIDA ✅", "META NÃO BATIDA ⚠️"))</f>
        <v/>
      </c>
    </row>
    <row r="12"/>
  </sheetData>
  <mergeCells count="7">
    <mergeCell ref="J5:L5"/>
    <mergeCell ref="B5:D5"/>
    <mergeCell ref="B6:D7"/>
    <mergeCell ref="F5:H5"/>
    <mergeCell ref="F6:H7"/>
    <mergeCell ref="J6:L7"/>
    <mergeCell ref="B11:E12"/>
  </mergeCells>
  <conditionalFormatting sqref="B11">
    <cfRule type="expression" priority="1" dxfId="0">
      <formula>J6=1</formula>
    </cfRule>
    <cfRule type="expression" priority="2" dxfId="1">
      <formula>AND(J6&gt;=0.8, J6&lt;1)</formula>
    </cfRule>
    <cfRule type="expression" priority="3" dxfId="2">
      <formula>J6&lt;0.8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Complexidade</t>
        </is>
      </c>
      <c r="B1" t="inlineStr">
        <is>
          <t>Dias</t>
        </is>
      </c>
    </row>
    <row r="2">
      <c r="A2" t="inlineStr">
        <is>
          <t>Baixa</t>
        </is>
      </c>
      <c r="B2" t="n">
        <v>4</v>
      </c>
    </row>
    <row r="3">
      <c r="A3" t="inlineStr">
        <is>
          <t>Média</t>
        </is>
      </c>
      <c r="B3" t="n">
        <v>7</v>
      </c>
    </row>
    <row r="4">
      <c r="A4" t="inlineStr">
        <is>
          <t>Alta</t>
        </is>
      </c>
      <c r="B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25" customWidth="1" min="10" max="10"/>
  </cols>
  <sheetData>
    <row r="1">
      <c r="A1" s="14" t="inlineStr">
        <is>
          <t>ID</t>
        </is>
      </c>
      <c r="B1" s="14" t="inlineStr">
        <is>
          <t>Cliente</t>
        </is>
      </c>
      <c r="C1" s="14" t="inlineStr">
        <is>
          <t>Tipo de Ação</t>
        </is>
      </c>
      <c r="D1" s="14" t="inlineStr">
        <is>
          <t>Complexidade</t>
        </is>
      </c>
      <c r="E1" s="14" t="inlineStr">
        <is>
          <t>Data Envio Doc</t>
        </is>
      </c>
      <c r="F1" s="14" t="inlineStr">
        <is>
          <t>Prazo (Dias)</t>
        </is>
      </c>
      <c r="G1" s="14" t="inlineStr">
        <is>
          <t>Prazo Fatal</t>
        </is>
      </c>
      <c r="H1" s="14" t="inlineStr">
        <is>
          <t>Status</t>
        </is>
      </c>
      <c r="I1" s="14" t="inlineStr">
        <is>
          <t>Data Protocolo</t>
        </is>
      </c>
      <c r="J1" s="14" t="inlineStr">
        <is>
          <t>Advogado Responsável</t>
        </is>
      </c>
    </row>
    <row r="2">
      <c r="A2" s="15" t="n"/>
      <c r="B2" s="16" t="n"/>
      <c r="C2" s="16" t="n"/>
      <c r="D2" s="15" t="n"/>
      <c r="E2" s="15" t="n"/>
      <c r="F2" s="15">
        <f>IFERROR(VLOOKUP(D2, Config!A:B, 2, FALSE), "")</f>
        <v/>
      </c>
      <c r="G2" s="15">
        <f>IF(E2="", "", WORKDAY(E2, F2))</f>
        <v/>
      </c>
      <c r="H2" s="15" t="n"/>
      <c r="I2" s="15" t="n"/>
      <c r="J2" s="16" t="n"/>
    </row>
    <row r="3">
      <c r="A3" s="15" t="n"/>
      <c r="B3" s="16" t="n"/>
      <c r="C3" s="16" t="n"/>
      <c r="D3" s="15" t="n"/>
      <c r="E3" s="15" t="n"/>
      <c r="F3" s="15">
        <f>IFERROR(VLOOKUP(D3, Config!A:B, 2, FALSE), "")</f>
        <v/>
      </c>
      <c r="G3" s="15">
        <f>IF(E3="", "", WORKDAY(E3, F3))</f>
        <v/>
      </c>
      <c r="H3" s="15" t="n"/>
      <c r="I3" s="15" t="n"/>
      <c r="J3" s="16" t="n"/>
    </row>
    <row r="4">
      <c r="A4" s="15" t="n"/>
      <c r="B4" s="16" t="n"/>
      <c r="C4" s="16" t="n"/>
      <c r="D4" s="15" t="n"/>
      <c r="E4" s="15" t="n"/>
      <c r="F4" s="15">
        <f>IFERROR(VLOOKUP(D4, Config!A:B, 2, FALSE), "")</f>
        <v/>
      </c>
      <c r="G4" s="15">
        <f>IF(E4="", "", WORKDAY(E4, F4))</f>
        <v/>
      </c>
      <c r="H4" s="15" t="n"/>
      <c r="I4" s="15" t="n"/>
      <c r="J4" s="16" t="n"/>
    </row>
    <row r="5">
      <c r="A5" s="15" t="n"/>
      <c r="B5" s="16" t="n"/>
      <c r="C5" s="16" t="n"/>
      <c r="D5" s="15" t="n"/>
      <c r="E5" s="15" t="n"/>
      <c r="F5" s="15">
        <f>IFERROR(VLOOKUP(D5, Config!A:B, 2, FALSE), "")</f>
        <v/>
      </c>
      <c r="G5" s="15">
        <f>IF(E5="", "", WORKDAY(E5, F5))</f>
        <v/>
      </c>
      <c r="H5" s="15" t="n"/>
      <c r="I5" s="15" t="n"/>
      <c r="J5" s="16" t="n"/>
    </row>
    <row r="6">
      <c r="A6" s="15" t="n"/>
      <c r="B6" s="16" t="n"/>
      <c r="C6" s="16" t="n"/>
      <c r="D6" s="15" t="n"/>
      <c r="E6" s="15" t="n"/>
      <c r="F6" s="15">
        <f>IFERROR(VLOOKUP(D6, Config!A:B, 2, FALSE), "")</f>
        <v/>
      </c>
      <c r="G6" s="15">
        <f>IF(E6="", "", WORKDAY(E6, F6))</f>
        <v/>
      </c>
      <c r="H6" s="15" t="n"/>
      <c r="I6" s="15" t="n"/>
      <c r="J6" s="16" t="n"/>
    </row>
    <row r="7">
      <c r="A7" s="15" t="n"/>
      <c r="B7" s="16" t="n"/>
      <c r="C7" s="16" t="n"/>
      <c r="D7" s="15" t="n"/>
      <c r="E7" s="15" t="n"/>
      <c r="F7" s="15">
        <f>IFERROR(VLOOKUP(D7, Config!A:B, 2, FALSE), "")</f>
        <v/>
      </c>
      <c r="G7" s="15">
        <f>IF(E7="", "", WORKDAY(E7, F7))</f>
        <v/>
      </c>
      <c r="H7" s="15" t="n"/>
      <c r="I7" s="15" t="n"/>
      <c r="J7" s="16" t="n"/>
    </row>
    <row r="8">
      <c r="A8" s="15" t="n"/>
      <c r="B8" s="16" t="n"/>
      <c r="C8" s="16" t="n"/>
      <c r="D8" s="15" t="n"/>
      <c r="E8" s="15" t="n"/>
      <c r="F8" s="15">
        <f>IFERROR(VLOOKUP(D8, Config!A:B, 2, FALSE), "")</f>
        <v/>
      </c>
      <c r="G8" s="15">
        <f>IF(E8="", "", WORKDAY(E8, F8))</f>
        <v/>
      </c>
      <c r="H8" s="15" t="n"/>
      <c r="I8" s="15" t="n"/>
      <c r="J8" s="16" t="n"/>
    </row>
    <row r="9">
      <c r="A9" s="15" t="n"/>
      <c r="B9" s="16" t="n"/>
      <c r="C9" s="16" t="n"/>
      <c r="D9" s="15" t="n"/>
      <c r="E9" s="15" t="n"/>
      <c r="F9" s="15">
        <f>IFERROR(VLOOKUP(D9, Config!A:B, 2, FALSE), "")</f>
        <v/>
      </c>
      <c r="G9" s="15">
        <f>IF(E9="", "", WORKDAY(E9, F9))</f>
        <v/>
      </c>
      <c r="H9" s="15" t="n"/>
      <c r="I9" s="15" t="n"/>
      <c r="J9" s="16" t="n"/>
    </row>
    <row r="10">
      <c r="A10" s="15" t="n"/>
      <c r="B10" s="16" t="n"/>
      <c r="C10" s="16" t="n"/>
      <c r="D10" s="15" t="n"/>
      <c r="E10" s="15" t="n"/>
      <c r="F10" s="15">
        <f>IFERROR(VLOOKUP(D10, Config!A:B, 2, FALSE), "")</f>
        <v/>
      </c>
      <c r="G10" s="15">
        <f>IF(E10="", "", WORKDAY(E10, F10))</f>
        <v/>
      </c>
      <c r="H10" s="15" t="n"/>
      <c r="I10" s="15" t="n"/>
      <c r="J10" s="16" t="n"/>
    </row>
    <row r="11">
      <c r="A11" s="15" t="n"/>
      <c r="B11" s="16" t="n"/>
      <c r="C11" s="16" t="n"/>
      <c r="D11" s="15" t="n"/>
      <c r="E11" s="15" t="n"/>
      <c r="F11" s="15">
        <f>IFERROR(VLOOKUP(D11, Config!A:B, 2, FALSE), "")</f>
        <v/>
      </c>
      <c r="G11" s="15">
        <f>IF(E11="", "", WORKDAY(E11, F11))</f>
        <v/>
      </c>
      <c r="H11" s="15" t="n"/>
      <c r="I11" s="15" t="n"/>
      <c r="J11" s="16" t="n"/>
    </row>
    <row r="12">
      <c r="A12" s="15" t="n"/>
      <c r="B12" s="16" t="n"/>
      <c r="C12" s="16" t="n"/>
      <c r="D12" s="15" t="n"/>
      <c r="E12" s="15" t="n"/>
      <c r="F12" s="15">
        <f>IFERROR(VLOOKUP(D12, Config!A:B, 2, FALSE), "")</f>
        <v/>
      </c>
      <c r="G12" s="15">
        <f>IF(E12="", "", WORKDAY(E12, F12))</f>
        <v/>
      </c>
      <c r="H12" s="15" t="n"/>
      <c r="I12" s="15" t="n"/>
      <c r="J12" s="16" t="n"/>
    </row>
    <row r="13">
      <c r="A13" s="15" t="n"/>
      <c r="B13" s="16" t="n"/>
      <c r="C13" s="16" t="n"/>
      <c r="D13" s="15" t="n"/>
      <c r="E13" s="15" t="n"/>
      <c r="F13" s="15">
        <f>IFERROR(VLOOKUP(D13, Config!A:B, 2, FALSE), "")</f>
        <v/>
      </c>
      <c r="G13" s="15">
        <f>IF(E13="", "", WORKDAY(E13, F13))</f>
        <v/>
      </c>
      <c r="H13" s="15" t="n"/>
      <c r="I13" s="15" t="n"/>
      <c r="J13" s="16" t="n"/>
    </row>
    <row r="14">
      <c r="A14" s="15" t="n"/>
      <c r="B14" s="16" t="n"/>
      <c r="C14" s="16" t="n"/>
      <c r="D14" s="15" t="n"/>
      <c r="E14" s="15" t="n"/>
      <c r="F14" s="15">
        <f>IFERROR(VLOOKUP(D14, Config!A:B, 2, FALSE), "")</f>
        <v/>
      </c>
      <c r="G14" s="15">
        <f>IF(E14="", "", WORKDAY(E14, F14))</f>
        <v/>
      </c>
      <c r="H14" s="15" t="n"/>
      <c r="I14" s="15" t="n"/>
      <c r="J14" s="16" t="n"/>
    </row>
    <row r="15">
      <c r="A15" s="15" t="n"/>
      <c r="B15" s="16" t="n"/>
      <c r="C15" s="16" t="n"/>
      <c r="D15" s="15" t="n"/>
      <c r="E15" s="15" t="n"/>
      <c r="F15" s="15">
        <f>IFERROR(VLOOKUP(D15, Config!A:B, 2, FALSE), "")</f>
        <v/>
      </c>
      <c r="G15" s="15">
        <f>IF(E15="", "", WORKDAY(E15, F15))</f>
        <v/>
      </c>
      <c r="H15" s="15" t="n"/>
      <c r="I15" s="15" t="n"/>
      <c r="J15" s="16" t="n"/>
    </row>
    <row r="16">
      <c r="A16" s="15" t="n"/>
      <c r="B16" s="16" t="n"/>
      <c r="C16" s="16" t="n"/>
      <c r="D16" s="15" t="n"/>
      <c r="E16" s="15" t="n"/>
      <c r="F16" s="15">
        <f>IFERROR(VLOOKUP(D16, Config!A:B, 2, FALSE), "")</f>
        <v/>
      </c>
      <c r="G16" s="15">
        <f>IF(E16="", "", WORKDAY(E16, F16))</f>
        <v/>
      </c>
      <c r="H16" s="15" t="n"/>
      <c r="I16" s="15" t="n"/>
      <c r="J16" s="16" t="n"/>
    </row>
    <row r="17">
      <c r="A17" s="15" t="n"/>
      <c r="B17" s="16" t="n"/>
      <c r="C17" s="16" t="n"/>
      <c r="D17" s="15" t="n"/>
      <c r="E17" s="15" t="n"/>
      <c r="F17" s="15">
        <f>IFERROR(VLOOKUP(D17, Config!A:B, 2, FALSE), "")</f>
        <v/>
      </c>
      <c r="G17" s="15">
        <f>IF(E17="", "", WORKDAY(E17, F17))</f>
        <v/>
      </c>
      <c r="H17" s="15" t="n"/>
      <c r="I17" s="15" t="n"/>
      <c r="J17" s="16" t="n"/>
    </row>
    <row r="18">
      <c r="A18" s="15" t="n"/>
      <c r="B18" s="16" t="n"/>
      <c r="C18" s="16" t="n"/>
      <c r="D18" s="15" t="n"/>
      <c r="E18" s="15" t="n"/>
      <c r="F18" s="15">
        <f>IFERROR(VLOOKUP(D18, Config!A:B, 2, FALSE), "")</f>
        <v/>
      </c>
      <c r="G18" s="15">
        <f>IF(E18="", "", WORKDAY(E18, F18))</f>
        <v/>
      </c>
      <c r="H18" s="15" t="n"/>
      <c r="I18" s="15" t="n"/>
      <c r="J18" s="16" t="n"/>
    </row>
    <row r="19">
      <c r="A19" s="15" t="n"/>
      <c r="B19" s="16" t="n"/>
      <c r="C19" s="16" t="n"/>
      <c r="D19" s="15" t="n"/>
      <c r="E19" s="15" t="n"/>
      <c r="F19" s="15">
        <f>IFERROR(VLOOKUP(D19, Config!A:B, 2, FALSE), "")</f>
        <v/>
      </c>
      <c r="G19" s="15">
        <f>IF(E19="", "", WORKDAY(E19, F19))</f>
        <v/>
      </c>
      <c r="H19" s="15" t="n"/>
      <c r="I19" s="15" t="n"/>
      <c r="J19" s="16" t="n"/>
    </row>
    <row r="20">
      <c r="A20" s="15" t="n"/>
      <c r="B20" s="16" t="n"/>
      <c r="C20" s="16" t="n"/>
      <c r="D20" s="15" t="n"/>
      <c r="E20" s="15" t="n"/>
      <c r="F20" s="15">
        <f>IFERROR(VLOOKUP(D20, Config!A:B, 2, FALSE), "")</f>
        <v/>
      </c>
      <c r="G20" s="15">
        <f>IF(E20="", "", WORKDAY(E20, F20))</f>
        <v/>
      </c>
      <c r="H20" s="15" t="n"/>
      <c r="I20" s="15" t="n"/>
      <c r="J20" s="16" t="n"/>
    </row>
    <row r="21">
      <c r="A21" s="15" t="n"/>
      <c r="B21" s="16" t="n"/>
      <c r="C21" s="16" t="n"/>
      <c r="D21" s="15" t="n"/>
      <c r="E21" s="15" t="n"/>
      <c r="F21" s="15">
        <f>IFERROR(VLOOKUP(D21, Config!A:B, 2, FALSE), "")</f>
        <v/>
      </c>
      <c r="G21" s="15">
        <f>IF(E21="", "", WORKDAY(E21, F21))</f>
        <v/>
      </c>
      <c r="H21" s="15" t="n"/>
      <c r="I21" s="15" t="n"/>
      <c r="J21" s="16" t="n"/>
    </row>
    <row r="22">
      <c r="A22" s="15" t="n"/>
      <c r="B22" s="16" t="n"/>
      <c r="C22" s="16" t="n"/>
      <c r="D22" s="15" t="n"/>
      <c r="E22" s="15" t="n"/>
      <c r="F22" s="15">
        <f>IFERROR(VLOOKUP(D22, Config!A:B, 2, FALSE), "")</f>
        <v/>
      </c>
      <c r="G22" s="15">
        <f>IF(E22="", "", WORKDAY(E22, F22))</f>
        <v/>
      </c>
      <c r="H22" s="15" t="n"/>
      <c r="I22" s="15" t="n"/>
      <c r="J22" s="16" t="n"/>
    </row>
    <row r="23">
      <c r="A23" s="15" t="n"/>
      <c r="B23" s="16" t="n"/>
      <c r="C23" s="16" t="n"/>
      <c r="D23" s="15" t="n"/>
      <c r="E23" s="15" t="n"/>
      <c r="F23" s="15">
        <f>IFERROR(VLOOKUP(D23, Config!A:B, 2, FALSE), "")</f>
        <v/>
      </c>
      <c r="G23" s="15">
        <f>IF(E23="", "", WORKDAY(E23, F23))</f>
        <v/>
      </c>
      <c r="H23" s="15" t="n"/>
      <c r="I23" s="15" t="n"/>
      <c r="J23" s="16" t="n"/>
    </row>
    <row r="24">
      <c r="A24" s="15" t="n"/>
      <c r="B24" s="16" t="n"/>
      <c r="C24" s="16" t="n"/>
      <c r="D24" s="15" t="n"/>
      <c r="E24" s="15" t="n"/>
      <c r="F24" s="15">
        <f>IFERROR(VLOOKUP(D24, Config!A:B, 2, FALSE), "")</f>
        <v/>
      </c>
      <c r="G24" s="15">
        <f>IF(E24="", "", WORKDAY(E24, F24))</f>
        <v/>
      </c>
      <c r="H24" s="15" t="n"/>
      <c r="I24" s="15" t="n"/>
      <c r="J24" s="16" t="n"/>
    </row>
    <row r="25">
      <c r="A25" s="15" t="n"/>
      <c r="B25" s="16" t="n"/>
      <c r="C25" s="16" t="n"/>
      <c r="D25" s="15" t="n"/>
      <c r="E25" s="15" t="n"/>
      <c r="F25" s="15">
        <f>IFERROR(VLOOKUP(D25, Config!A:B, 2, FALSE), "")</f>
        <v/>
      </c>
      <c r="G25" s="15">
        <f>IF(E25="", "", WORKDAY(E25, F25))</f>
        <v/>
      </c>
      <c r="H25" s="15" t="n"/>
      <c r="I25" s="15" t="n"/>
      <c r="J25" s="16" t="n"/>
    </row>
    <row r="26">
      <c r="A26" s="15" t="n"/>
      <c r="B26" s="16" t="n"/>
      <c r="C26" s="16" t="n"/>
      <c r="D26" s="15" t="n"/>
      <c r="E26" s="15" t="n"/>
      <c r="F26" s="15">
        <f>IFERROR(VLOOKUP(D26, Config!A:B, 2, FALSE), "")</f>
        <v/>
      </c>
      <c r="G26" s="15">
        <f>IF(E26="", "", WORKDAY(E26, F26))</f>
        <v/>
      </c>
      <c r="H26" s="15" t="n"/>
      <c r="I26" s="15" t="n"/>
      <c r="J26" s="16" t="n"/>
    </row>
    <row r="27">
      <c r="A27" s="15" t="n"/>
      <c r="B27" s="16" t="n"/>
      <c r="C27" s="16" t="n"/>
      <c r="D27" s="15" t="n"/>
      <c r="E27" s="15" t="n"/>
      <c r="F27" s="15">
        <f>IFERROR(VLOOKUP(D27, Config!A:B, 2, FALSE), "")</f>
        <v/>
      </c>
      <c r="G27" s="15">
        <f>IF(E27="", "", WORKDAY(E27, F27))</f>
        <v/>
      </c>
      <c r="H27" s="15" t="n"/>
      <c r="I27" s="15" t="n"/>
      <c r="J27" s="16" t="n"/>
    </row>
    <row r="28">
      <c r="A28" s="15" t="n"/>
      <c r="B28" s="16" t="n"/>
      <c r="C28" s="16" t="n"/>
      <c r="D28" s="15" t="n"/>
      <c r="E28" s="15" t="n"/>
      <c r="F28" s="15">
        <f>IFERROR(VLOOKUP(D28, Config!A:B, 2, FALSE), "")</f>
        <v/>
      </c>
      <c r="G28" s="15">
        <f>IF(E28="", "", WORKDAY(E28, F28))</f>
        <v/>
      </c>
      <c r="H28" s="15" t="n"/>
      <c r="I28" s="15" t="n"/>
      <c r="J28" s="16" t="n"/>
    </row>
    <row r="29">
      <c r="A29" s="15" t="n"/>
      <c r="B29" s="16" t="n"/>
      <c r="C29" s="16" t="n"/>
      <c r="D29" s="15" t="n"/>
      <c r="E29" s="15" t="n"/>
      <c r="F29" s="15">
        <f>IFERROR(VLOOKUP(D29, Config!A:B, 2, FALSE), "")</f>
        <v/>
      </c>
      <c r="G29" s="15">
        <f>IF(E29="", "", WORKDAY(E29, F29))</f>
        <v/>
      </c>
      <c r="H29" s="15" t="n"/>
      <c r="I29" s="15" t="n"/>
      <c r="J29" s="16" t="n"/>
    </row>
    <row r="30">
      <c r="A30" s="15" t="n"/>
      <c r="B30" s="16" t="n"/>
      <c r="C30" s="16" t="n"/>
      <c r="D30" s="15" t="n"/>
      <c r="E30" s="15" t="n"/>
      <c r="F30" s="15">
        <f>IFERROR(VLOOKUP(D30, Config!A:B, 2, FALSE), "")</f>
        <v/>
      </c>
      <c r="G30" s="15">
        <f>IF(E30="", "", WORKDAY(E30, F30))</f>
        <v/>
      </c>
      <c r="H30" s="15" t="n"/>
      <c r="I30" s="15" t="n"/>
      <c r="J30" s="16" t="n"/>
    </row>
    <row r="31">
      <c r="A31" s="15" t="n"/>
      <c r="B31" s="16" t="n"/>
      <c r="C31" s="16" t="n"/>
      <c r="D31" s="15" t="n"/>
      <c r="E31" s="15" t="n"/>
      <c r="F31" s="15">
        <f>IFERROR(VLOOKUP(D31, Config!A:B, 2, FALSE), "")</f>
        <v/>
      </c>
      <c r="G31" s="15">
        <f>IF(E31="", "", WORKDAY(E31, F31))</f>
        <v/>
      </c>
      <c r="H31" s="15" t="n"/>
      <c r="I31" s="15" t="n"/>
      <c r="J31" s="16" t="n"/>
    </row>
    <row r="32">
      <c r="A32" s="15" t="n"/>
      <c r="B32" s="16" t="n"/>
      <c r="C32" s="16" t="n"/>
      <c r="D32" s="15" t="n"/>
      <c r="E32" s="15" t="n"/>
      <c r="F32" s="15">
        <f>IFERROR(VLOOKUP(D32, Config!A:B, 2, FALSE), "")</f>
        <v/>
      </c>
      <c r="G32" s="15">
        <f>IF(E32="", "", WORKDAY(E32, F32))</f>
        <v/>
      </c>
      <c r="H32" s="15" t="n"/>
      <c r="I32" s="15" t="n"/>
      <c r="J32" s="16" t="n"/>
    </row>
    <row r="33">
      <c r="A33" s="15" t="n"/>
      <c r="B33" s="16" t="n"/>
      <c r="C33" s="16" t="n"/>
      <c r="D33" s="15" t="n"/>
      <c r="E33" s="15" t="n"/>
      <c r="F33" s="15">
        <f>IFERROR(VLOOKUP(D33, Config!A:B, 2, FALSE), "")</f>
        <v/>
      </c>
      <c r="G33" s="15">
        <f>IF(E33="", "", WORKDAY(E33, F33))</f>
        <v/>
      </c>
      <c r="H33" s="15" t="n"/>
      <c r="I33" s="15" t="n"/>
      <c r="J33" s="16" t="n"/>
    </row>
    <row r="34">
      <c r="A34" s="15" t="n"/>
      <c r="B34" s="16" t="n"/>
      <c r="C34" s="16" t="n"/>
      <c r="D34" s="15" t="n"/>
      <c r="E34" s="15" t="n"/>
      <c r="F34" s="15">
        <f>IFERROR(VLOOKUP(D34, Config!A:B, 2, FALSE), "")</f>
        <v/>
      </c>
      <c r="G34" s="15">
        <f>IF(E34="", "", WORKDAY(E34, F34))</f>
        <v/>
      </c>
      <c r="H34" s="15" t="n"/>
      <c r="I34" s="15" t="n"/>
      <c r="J34" s="16" t="n"/>
    </row>
    <row r="35">
      <c r="A35" s="15" t="n"/>
      <c r="B35" s="16" t="n"/>
      <c r="C35" s="16" t="n"/>
      <c r="D35" s="15" t="n"/>
      <c r="E35" s="15" t="n"/>
      <c r="F35" s="15">
        <f>IFERROR(VLOOKUP(D35, Config!A:B, 2, FALSE), "")</f>
        <v/>
      </c>
      <c r="G35" s="15">
        <f>IF(E35="", "", WORKDAY(E35, F35))</f>
        <v/>
      </c>
      <c r="H35" s="15" t="n"/>
      <c r="I35" s="15" t="n"/>
      <c r="J35" s="16" t="n"/>
    </row>
    <row r="36">
      <c r="A36" s="15" t="n"/>
      <c r="B36" s="16" t="n"/>
      <c r="C36" s="16" t="n"/>
      <c r="D36" s="15" t="n"/>
      <c r="E36" s="15" t="n"/>
      <c r="F36" s="15">
        <f>IFERROR(VLOOKUP(D36, Config!A:B, 2, FALSE), "")</f>
        <v/>
      </c>
      <c r="G36" s="15">
        <f>IF(E36="", "", WORKDAY(E36, F36))</f>
        <v/>
      </c>
      <c r="H36" s="15" t="n"/>
      <c r="I36" s="15" t="n"/>
      <c r="J36" s="16" t="n"/>
    </row>
    <row r="37">
      <c r="A37" s="15" t="n"/>
      <c r="B37" s="16" t="n"/>
      <c r="C37" s="16" t="n"/>
      <c r="D37" s="15" t="n"/>
      <c r="E37" s="15" t="n"/>
      <c r="F37" s="15">
        <f>IFERROR(VLOOKUP(D37, Config!A:B, 2, FALSE), "")</f>
        <v/>
      </c>
      <c r="G37" s="15">
        <f>IF(E37="", "", WORKDAY(E37, F37))</f>
        <v/>
      </c>
      <c r="H37" s="15" t="n"/>
      <c r="I37" s="15" t="n"/>
      <c r="J37" s="16" t="n"/>
    </row>
    <row r="38">
      <c r="A38" s="15" t="n"/>
      <c r="B38" s="16" t="n"/>
      <c r="C38" s="16" t="n"/>
      <c r="D38" s="15" t="n"/>
      <c r="E38" s="15" t="n"/>
      <c r="F38" s="15">
        <f>IFERROR(VLOOKUP(D38, Config!A:B, 2, FALSE), "")</f>
        <v/>
      </c>
      <c r="G38" s="15">
        <f>IF(E38="", "", WORKDAY(E38, F38))</f>
        <v/>
      </c>
      <c r="H38" s="15" t="n"/>
      <c r="I38" s="15" t="n"/>
      <c r="J38" s="16" t="n"/>
    </row>
    <row r="39">
      <c r="A39" s="15" t="n"/>
      <c r="B39" s="16" t="n"/>
      <c r="C39" s="16" t="n"/>
      <c r="D39" s="15" t="n"/>
      <c r="E39" s="15" t="n"/>
      <c r="F39" s="15">
        <f>IFERROR(VLOOKUP(D39, Config!A:B, 2, FALSE), "")</f>
        <v/>
      </c>
      <c r="G39" s="15">
        <f>IF(E39="", "", WORKDAY(E39, F39))</f>
        <v/>
      </c>
      <c r="H39" s="15" t="n"/>
      <c r="I39" s="15" t="n"/>
      <c r="J39" s="16" t="n"/>
    </row>
    <row r="40">
      <c r="A40" s="15" t="n"/>
      <c r="B40" s="16" t="n"/>
      <c r="C40" s="16" t="n"/>
      <c r="D40" s="15" t="n"/>
      <c r="E40" s="15" t="n"/>
      <c r="F40" s="15">
        <f>IFERROR(VLOOKUP(D40, Config!A:B, 2, FALSE), "")</f>
        <v/>
      </c>
      <c r="G40" s="15">
        <f>IF(E40="", "", WORKDAY(E40, F40))</f>
        <v/>
      </c>
      <c r="H40" s="15" t="n"/>
      <c r="I40" s="15" t="n"/>
      <c r="J40" s="16" t="n"/>
    </row>
    <row r="41">
      <c r="A41" s="15" t="n"/>
      <c r="B41" s="16" t="n"/>
      <c r="C41" s="16" t="n"/>
      <c r="D41" s="15" t="n"/>
      <c r="E41" s="15" t="n"/>
      <c r="F41" s="15">
        <f>IFERROR(VLOOKUP(D41, Config!A:B, 2, FALSE), "")</f>
        <v/>
      </c>
      <c r="G41" s="15">
        <f>IF(E41="", "", WORKDAY(E41, F41))</f>
        <v/>
      </c>
      <c r="H41" s="15" t="n"/>
      <c r="I41" s="15" t="n"/>
      <c r="J41" s="16" t="n"/>
    </row>
    <row r="42">
      <c r="A42" s="15" t="n"/>
      <c r="B42" s="16" t="n"/>
      <c r="C42" s="16" t="n"/>
      <c r="D42" s="15" t="n"/>
      <c r="E42" s="15" t="n"/>
      <c r="F42" s="15">
        <f>IFERROR(VLOOKUP(D42, Config!A:B, 2, FALSE), "")</f>
        <v/>
      </c>
      <c r="G42" s="15">
        <f>IF(E42="", "", WORKDAY(E42, F42))</f>
        <v/>
      </c>
      <c r="H42" s="15" t="n"/>
      <c r="I42" s="15" t="n"/>
      <c r="J42" s="16" t="n"/>
    </row>
    <row r="43">
      <c r="A43" s="15" t="n"/>
      <c r="B43" s="16" t="n"/>
      <c r="C43" s="16" t="n"/>
      <c r="D43" s="15" t="n"/>
      <c r="E43" s="15" t="n"/>
      <c r="F43" s="15">
        <f>IFERROR(VLOOKUP(D43, Config!A:B, 2, FALSE), "")</f>
        <v/>
      </c>
      <c r="G43" s="15">
        <f>IF(E43="", "", WORKDAY(E43, F43))</f>
        <v/>
      </c>
      <c r="H43" s="15" t="n"/>
      <c r="I43" s="15" t="n"/>
      <c r="J43" s="16" t="n"/>
    </row>
    <row r="44">
      <c r="A44" s="15" t="n"/>
      <c r="B44" s="16" t="n"/>
      <c r="C44" s="16" t="n"/>
      <c r="D44" s="15" t="n"/>
      <c r="E44" s="15" t="n"/>
      <c r="F44" s="15">
        <f>IFERROR(VLOOKUP(D44, Config!A:B, 2, FALSE), "")</f>
        <v/>
      </c>
      <c r="G44" s="15">
        <f>IF(E44="", "", WORKDAY(E44, F44))</f>
        <v/>
      </c>
      <c r="H44" s="15" t="n"/>
      <c r="I44" s="15" t="n"/>
      <c r="J44" s="16" t="n"/>
    </row>
    <row r="45">
      <c r="A45" s="15" t="n"/>
      <c r="B45" s="16" t="n"/>
      <c r="C45" s="16" t="n"/>
      <c r="D45" s="15" t="n"/>
      <c r="E45" s="15" t="n"/>
      <c r="F45" s="15">
        <f>IFERROR(VLOOKUP(D45, Config!A:B, 2, FALSE), "")</f>
        <v/>
      </c>
      <c r="G45" s="15">
        <f>IF(E45="", "", WORKDAY(E45, F45))</f>
        <v/>
      </c>
      <c r="H45" s="15" t="n"/>
      <c r="I45" s="15" t="n"/>
      <c r="J45" s="16" t="n"/>
    </row>
    <row r="46">
      <c r="A46" s="15" t="n"/>
      <c r="B46" s="16" t="n"/>
      <c r="C46" s="16" t="n"/>
      <c r="D46" s="15" t="n"/>
      <c r="E46" s="15" t="n"/>
      <c r="F46" s="15">
        <f>IFERROR(VLOOKUP(D46, Config!A:B, 2, FALSE), "")</f>
        <v/>
      </c>
      <c r="G46" s="15">
        <f>IF(E46="", "", WORKDAY(E46, F46))</f>
        <v/>
      </c>
      <c r="H46" s="15" t="n"/>
      <c r="I46" s="15" t="n"/>
      <c r="J46" s="16" t="n"/>
    </row>
    <row r="47">
      <c r="A47" s="15" t="n"/>
      <c r="B47" s="16" t="n"/>
      <c r="C47" s="16" t="n"/>
      <c r="D47" s="15" t="n"/>
      <c r="E47" s="15" t="n"/>
      <c r="F47" s="15">
        <f>IFERROR(VLOOKUP(D47, Config!A:B, 2, FALSE), "")</f>
        <v/>
      </c>
      <c r="G47" s="15">
        <f>IF(E47="", "", WORKDAY(E47, F47))</f>
        <v/>
      </c>
      <c r="H47" s="15" t="n"/>
      <c r="I47" s="15" t="n"/>
      <c r="J47" s="16" t="n"/>
    </row>
    <row r="48">
      <c r="A48" s="15" t="n"/>
      <c r="B48" s="16" t="n"/>
      <c r="C48" s="16" t="n"/>
      <c r="D48" s="15" t="n"/>
      <c r="E48" s="15" t="n"/>
      <c r="F48" s="15">
        <f>IFERROR(VLOOKUP(D48, Config!A:B, 2, FALSE), "")</f>
        <v/>
      </c>
      <c r="G48" s="15">
        <f>IF(E48="", "", WORKDAY(E48, F48))</f>
        <v/>
      </c>
      <c r="H48" s="15" t="n"/>
      <c r="I48" s="15" t="n"/>
      <c r="J48" s="16" t="n"/>
    </row>
    <row r="49">
      <c r="A49" s="15" t="n"/>
      <c r="B49" s="16" t="n"/>
      <c r="C49" s="16" t="n"/>
      <c r="D49" s="15" t="n"/>
      <c r="E49" s="15" t="n"/>
      <c r="F49" s="15">
        <f>IFERROR(VLOOKUP(D49, Config!A:B, 2, FALSE), "")</f>
        <v/>
      </c>
      <c r="G49" s="15">
        <f>IF(E49="", "", WORKDAY(E49, F49))</f>
        <v/>
      </c>
      <c r="H49" s="15" t="n"/>
      <c r="I49" s="15" t="n"/>
      <c r="J49" s="16" t="n"/>
    </row>
    <row r="50">
      <c r="A50" s="15" t="n"/>
      <c r="B50" s="16" t="n"/>
      <c r="C50" s="16" t="n"/>
      <c r="D50" s="15" t="n"/>
      <c r="E50" s="15" t="n"/>
      <c r="F50" s="15">
        <f>IFERROR(VLOOKUP(D50, Config!A:B, 2, FALSE), "")</f>
        <v/>
      </c>
      <c r="G50" s="15">
        <f>IF(E50="", "", WORKDAY(E50, F50))</f>
        <v/>
      </c>
      <c r="H50" s="15" t="n"/>
      <c r="I50" s="15" t="n"/>
      <c r="J50" s="16" t="n"/>
    </row>
    <row r="51">
      <c r="A51" s="15" t="n"/>
      <c r="B51" s="16" t="n"/>
      <c r="C51" s="16" t="n"/>
      <c r="D51" s="15" t="n"/>
      <c r="E51" s="15" t="n"/>
      <c r="F51" s="15">
        <f>IFERROR(VLOOKUP(D51, Config!A:B, 2, FALSE), "")</f>
        <v/>
      </c>
      <c r="G51" s="15">
        <f>IF(E51="", "", WORKDAY(E51, F51))</f>
        <v/>
      </c>
      <c r="H51" s="15" t="n"/>
      <c r="I51" s="15" t="n"/>
      <c r="J51" s="16" t="n"/>
    </row>
    <row r="52">
      <c r="A52" s="15" t="n"/>
      <c r="B52" s="16" t="n"/>
      <c r="C52" s="16" t="n"/>
      <c r="D52" s="15" t="n"/>
      <c r="E52" s="15" t="n"/>
      <c r="F52" s="15">
        <f>IFERROR(VLOOKUP(D52, Config!A:B, 2, FALSE), "")</f>
        <v/>
      </c>
      <c r="G52" s="15">
        <f>IF(E52="", "", WORKDAY(E52, F52))</f>
        <v/>
      </c>
      <c r="H52" s="15" t="n"/>
      <c r="I52" s="15" t="n"/>
      <c r="J52" s="16" t="n"/>
    </row>
    <row r="53">
      <c r="A53" s="15" t="n"/>
      <c r="B53" s="16" t="n"/>
      <c r="C53" s="16" t="n"/>
      <c r="D53" s="15" t="n"/>
      <c r="E53" s="15" t="n"/>
      <c r="F53" s="15">
        <f>IFERROR(VLOOKUP(D53, Config!A:B, 2, FALSE), "")</f>
        <v/>
      </c>
      <c r="G53" s="15">
        <f>IF(E53="", "", WORKDAY(E53, F53))</f>
        <v/>
      </c>
      <c r="H53" s="15" t="n"/>
      <c r="I53" s="15" t="n"/>
      <c r="J53" s="16" t="n"/>
    </row>
    <row r="54">
      <c r="A54" s="15" t="n"/>
      <c r="B54" s="16" t="n"/>
      <c r="C54" s="16" t="n"/>
      <c r="D54" s="15" t="n"/>
      <c r="E54" s="15" t="n"/>
      <c r="F54" s="15">
        <f>IFERROR(VLOOKUP(D54, Config!A:B, 2, FALSE), "")</f>
        <v/>
      </c>
      <c r="G54" s="15">
        <f>IF(E54="", "", WORKDAY(E54, F54))</f>
        <v/>
      </c>
      <c r="H54" s="15" t="n"/>
      <c r="I54" s="15" t="n"/>
      <c r="J54" s="16" t="n"/>
    </row>
    <row r="55">
      <c r="A55" s="15" t="n"/>
      <c r="B55" s="16" t="n"/>
      <c r="C55" s="16" t="n"/>
      <c r="D55" s="15" t="n"/>
      <c r="E55" s="15" t="n"/>
      <c r="F55" s="15">
        <f>IFERROR(VLOOKUP(D55, Config!A:B, 2, FALSE), "")</f>
        <v/>
      </c>
      <c r="G55" s="15">
        <f>IF(E55="", "", WORKDAY(E55, F55))</f>
        <v/>
      </c>
      <c r="H55" s="15" t="n"/>
      <c r="I55" s="15" t="n"/>
      <c r="J55" s="16" t="n"/>
    </row>
    <row r="56">
      <c r="A56" s="15" t="n"/>
      <c r="B56" s="16" t="n"/>
      <c r="C56" s="16" t="n"/>
      <c r="D56" s="15" t="n"/>
      <c r="E56" s="15" t="n"/>
      <c r="F56" s="15">
        <f>IFERROR(VLOOKUP(D56, Config!A:B, 2, FALSE), "")</f>
        <v/>
      </c>
      <c r="G56" s="15">
        <f>IF(E56="", "", WORKDAY(E56, F56))</f>
        <v/>
      </c>
      <c r="H56" s="15" t="n"/>
      <c r="I56" s="15" t="n"/>
      <c r="J56" s="16" t="n"/>
    </row>
    <row r="57">
      <c r="A57" s="15" t="n"/>
      <c r="B57" s="16" t="n"/>
      <c r="C57" s="16" t="n"/>
      <c r="D57" s="15" t="n"/>
      <c r="E57" s="15" t="n"/>
      <c r="F57" s="15">
        <f>IFERROR(VLOOKUP(D57, Config!A:B, 2, FALSE), "")</f>
        <v/>
      </c>
      <c r="G57" s="15">
        <f>IF(E57="", "", WORKDAY(E57, F57))</f>
        <v/>
      </c>
      <c r="H57" s="15" t="n"/>
      <c r="I57" s="15" t="n"/>
      <c r="J57" s="16" t="n"/>
    </row>
    <row r="58">
      <c r="A58" s="15" t="n"/>
      <c r="B58" s="16" t="n"/>
      <c r="C58" s="16" t="n"/>
      <c r="D58" s="15" t="n"/>
      <c r="E58" s="15" t="n"/>
      <c r="F58" s="15">
        <f>IFERROR(VLOOKUP(D58, Config!A:B, 2, FALSE), "")</f>
        <v/>
      </c>
      <c r="G58" s="15">
        <f>IF(E58="", "", WORKDAY(E58, F58))</f>
        <v/>
      </c>
      <c r="H58" s="15" t="n"/>
      <c r="I58" s="15" t="n"/>
      <c r="J58" s="16" t="n"/>
    </row>
    <row r="59">
      <c r="A59" s="15" t="n"/>
      <c r="B59" s="16" t="n"/>
      <c r="C59" s="16" t="n"/>
      <c r="D59" s="15" t="n"/>
      <c r="E59" s="15" t="n"/>
      <c r="F59" s="15">
        <f>IFERROR(VLOOKUP(D59, Config!A:B, 2, FALSE), "")</f>
        <v/>
      </c>
      <c r="G59" s="15">
        <f>IF(E59="", "", WORKDAY(E59, F59))</f>
        <v/>
      </c>
      <c r="H59" s="15" t="n"/>
      <c r="I59" s="15" t="n"/>
      <c r="J59" s="16" t="n"/>
    </row>
    <row r="60">
      <c r="A60" s="15" t="n"/>
      <c r="B60" s="16" t="n"/>
      <c r="C60" s="16" t="n"/>
      <c r="D60" s="15" t="n"/>
      <c r="E60" s="15" t="n"/>
      <c r="F60" s="15">
        <f>IFERROR(VLOOKUP(D60, Config!A:B, 2, FALSE), "")</f>
        <v/>
      </c>
      <c r="G60" s="15">
        <f>IF(E60="", "", WORKDAY(E60, F60))</f>
        <v/>
      </c>
      <c r="H60" s="15" t="n"/>
      <c r="I60" s="15" t="n"/>
      <c r="J60" s="16" t="n"/>
    </row>
    <row r="61">
      <c r="A61" s="15" t="n"/>
      <c r="B61" s="16" t="n"/>
      <c r="C61" s="16" t="n"/>
      <c r="D61" s="15" t="n"/>
      <c r="E61" s="15" t="n"/>
      <c r="F61" s="15">
        <f>IFERROR(VLOOKUP(D61, Config!A:B, 2, FALSE), "")</f>
        <v/>
      </c>
      <c r="G61" s="15">
        <f>IF(E61="", "", WORKDAY(E61, F61))</f>
        <v/>
      </c>
      <c r="H61" s="15" t="n"/>
      <c r="I61" s="15" t="n"/>
      <c r="J61" s="16" t="n"/>
    </row>
    <row r="62">
      <c r="A62" s="15" t="n"/>
      <c r="B62" s="16" t="n"/>
      <c r="C62" s="16" t="n"/>
      <c r="D62" s="15" t="n"/>
      <c r="E62" s="15" t="n"/>
      <c r="F62" s="15">
        <f>IFERROR(VLOOKUP(D62, Config!A:B, 2, FALSE), "")</f>
        <v/>
      </c>
      <c r="G62" s="15">
        <f>IF(E62="", "", WORKDAY(E62, F62))</f>
        <v/>
      </c>
      <c r="H62" s="15" t="n"/>
      <c r="I62" s="15" t="n"/>
      <c r="J62" s="16" t="n"/>
    </row>
    <row r="63">
      <c r="A63" s="15" t="n"/>
      <c r="B63" s="16" t="n"/>
      <c r="C63" s="16" t="n"/>
      <c r="D63" s="15" t="n"/>
      <c r="E63" s="15" t="n"/>
      <c r="F63" s="15">
        <f>IFERROR(VLOOKUP(D63, Config!A:B, 2, FALSE), "")</f>
        <v/>
      </c>
      <c r="G63" s="15">
        <f>IF(E63="", "", WORKDAY(E63, F63))</f>
        <v/>
      </c>
      <c r="H63" s="15" t="n"/>
      <c r="I63" s="15" t="n"/>
      <c r="J63" s="16" t="n"/>
    </row>
    <row r="64">
      <c r="A64" s="15" t="n"/>
      <c r="B64" s="16" t="n"/>
      <c r="C64" s="16" t="n"/>
      <c r="D64" s="15" t="n"/>
      <c r="E64" s="15" t="n"/>
      <c r="F64" s="15">
        <f>IFERROR(VLOOKUP(D64, Config!A:B, 2, FALSE), "")</f>
        <v/>
      </c>
      <c r="G64" s="15">
        <f>IF(E64="", "", WORKDAY(E64, F64))</f>
        <v/>
      </c>
      <c r="H64" s="15" t="n"/>
      <c r="I64" s="15" t="n"/>
      <c r="J64" s="16" t="n"/>
    </row>
    <row r="65">
      <c r="A65" s="15" t="n"/>
      <c r="B65" s="16" t="n"/>
      <c r="C65" s="16" t="n"/>
      <c r="D65" s="15" t="n"/>
      <c r="E65" s="15" t="n"/>
      <c r="F65" s="15">
        <f>IFERROR(VLOOKUP(D65, Config!A:B, 2, FALSE), "")</f>
        <v/>
      </c>
      <c r="G65" s="15">
        <f>IF(E65="", "", WORKDAY(E65, F65))</f>
        <v/>
      </c>
      <c r="H65" s="15" t="n"/>
      <c r="I65" s="15" t="n"/>
      <c r="J65" s="16" t="n"/>
    </row>
    <row r="66">
      <c r="A66" s="15" t="n"/>
      <c r="B66" s="16" t="n"/>
      <c r="C66" s="16" t="n"/>
      <c r="D66" s="15" t="n"/>
      <c r="E66" s="15" t="n"/>
      <c r="F66" s="15">
        <f>IFERROR(VLOOKUP(D66, Config!A:B, 2, FALSE), "")</f>
        <v/>
      </c>
      <c r="G66" s="15">
        <f>IF(E66="", "", WORKDAY(E66, F66))</f>
        <v/>
      </c>
      <c r="H66" s="15" t="n"/>
      <c r="I66" s="15" t="n"/>
      <c r="J66" s="16" t="n"/>
    </row>
    <row r="67">
      <c r="A67" s="15" t="n"/>
      <c r="B67" s="16" t="n"/>
      <c r="C67" s="16" t="n"/>
      <c r="D67" s="15" t="n"/>
      <c r="E67" s="15" t="n"/>
      <c r="F67" s="15">
        <f>IFERROR(VLOOKUP(D67, Config!A:B, 2, FALSE), "")</f>
        <v/>
      </c>
      <c r="G67" s="15">
        <f>IF(E67="", "", WORKDAY(E67, F67))</f>
        <v/>
      </c>
      <c r="H67" s="15" t="n"/>
      <c r="I67" s="15" t="n"/>
      <c r="J67" s="16" t="n"/>
    </row>
    <row r="68">
      <c r="A68" s="15" t="n"/>
      <c r="B68" s="16" t="n"/>
      <c r="C68" s="16" t="n"/>
      <c r="D68" s="15" t="n"/>
      <c r="E68" s="15" t="n"/>
      <c r="F68" s="15">
        <f>IFERROR(VLOOKUP(D68, Config!A:B, 2, FALSE), "")</f>
        <v/>
      </c>
      <c r="G68" s="15">
        <f>IF(E68="", "", WORKDAY(E68, F68))</f>
        <v/>
      </c>
      <c r="H68" s="15" t="n"/>
      <c r="I68" s="15" t="n"/>
      <c r="J68" s="16" t="n"/>
    </row>
    <row r="69">
      <c r="A69" s="15" t="n"/>
      <c r="B69" s="16" t="n"/>
      <c r="C69" s="16" t="n"/>
      <c r="D69" s="15" t="n"/>
      <c r="E69" s="15" t="n"/>
      <c r="F69" s="15">
        <f>IFERROR(VLOOKUP(D69, Config!A:B, 2, FALSE), "")</f>
        <v/>
      </c>
      <c r="G69" s="15">
        <f>IF(E69="", "", WORKDAY(E69, F69))</f>
        <v/>
      </c>
      <c r="H69" s="15" t="n"/>
      <c r="I69" s="15" t="n"/>
      <c r="J69" s="16" t="n"/>
    </row>
    <row r="70">
      <c r="A70" s="15" t="n"/>
      <c r="B70" s="16" t="n"/>
      <c r="C70" s="16" t="n"/>
      <c r="D70" s="15" t="n"/>
      <c r="E70" s="15" t="n"/>
      <c r="F70" s="15">
        <f>IFERROR(VLOOKUP(D70, Config!A:B, 2, FALSE), "")</f>
        <v/>
      </c>
      <c r="G70" s="15">
        <f>IF(E70="", "", WORKDAY(E70, F70))</f>
        <v/>
      </c>
      <c r="H70" s="15" t="n"/>
      <c r="I70" s="15" t="n"/>
      <c r="J70" s="16" t="n"/>
    </row>
    <row r="71">
      <c r="A71" s="15" t="n"/>
      <c r="B71" s="16" t="n"/>
      <c r="C71" s="16" t="n"/>
      <c r="D71" s="15" t="n"/>
      <c r="E71" s="15" t="n"/>
      <c r="F71" s="15">
        <f>IFERROR(VLOOKUP(D71, Config!A:B, 2, FALSE), "")</f>
        <v/>
      </c>
      <c r="G71" s="15">
        <f>IF(E71="", "", WORKDAY(E71, F71))</f>
        <v/>
      </c>
      <c r="H71" s="15" t="n"/>
      <c r="I71" s="15" t="n"/>
      <c r="J71" s="16" t="n"/>
    </row>
    <row r="72">
      <c r="A72" s="15" t="n"/>
      <c r="B72" s="16" t="n"/>
      <c r="C72" s="16" t="n"/>
      <c r="D72" s="15" t="n"/>
      <c r="E72" s="15" t="n"/>
      <c r="F72" s="15">
        <f>IFERROR(VLOOKUP(D72, Config!A:B, 2, FALSE), "")</f>
        <v/>
      </c>
      <c r="G72" s="15">
        <f>IF(E72="", "", WORKDAY(E72, F72))</f>
        <v/>
      </c>
      <c r="H72" s="15" t="n"/>
      <c r="I72" s="15" t="n"/>
      <c r="J72" s="16" t="n"/>
    </row>
    <row r="73">
      <c r="A73" s="15" t="n"/>
      <c r="B73" s="16" t="n"/>
      <c r="C73" s="16" t="n"/>
      <c r="D73" s="15" t="n"/>
      <c r="E73" s="15" t="n"/>
      <c r="F73" s="15">
        <f>IFERROR(VLOOKUP(D73, Config!A:B, 2, FALSE), "")</f>
        <v/>
      </c>
      <c r="G73" s="15">
        <f>IF(E73="", "", WORKDAY(E73, F73))</f>
        <v/>
      </c>
      <c r="H73" s="15" t="n"/>
      <c r="I73" s="15" t="n"/>
      <c r="J73" s="16" t="n"/>
    </row>
    <row r="74">
      <c r="A74" s="15" t="n"/>
      <c r="B74" s="16" t="n"/>
      <c r="C74" s="16" t="n"/>
      <c r="D74" s="15" t="n"/>
      <c r="E74" s="15" t="n"/>
      <c r="F74" s="15">
        <f>IFERROR(VLOOKUP(D74, Config!A:B, 2, FALSE), "")</f>
        <v/>
      </c>
      <c r="G74" s="15">
        <f>IF(E74="", "", WORKDAY(E74, F74))</f>
        <v/>
      </c>
      <c r="H74" s="15" t="n"/>
      <c r="I74" s="15" t="n"/>
      <c r="J74" s="16" t="n"/>
    </row>
    <row r="75">
      <c r="A75" s="15" t="n"/>
      <c r="B75" s="16" t="n"/>
      <c r="C75" s="16" t="n"/>
      <c r="D75" s="15" t="n"/>
      <c r="E75" s="15" t="n"/>
      <c r="F75" s="15">
        <f>IFERROR(VLOOKUP(D75, Config!A:B, 2, FALSE), "")</f>
        <v/>
      </c>
      <c r="G75" s="15">
        <f>IF(E75="", "", WORKDAY(E75, F75))</f>
        <v/>
      </c>
      <c r="H75" s="15" t="n"/>
      <c r="I75" s="15" t="n"/>
      <c r="J75" s="16" t="n"/>
    </row>
    <row r="76">
      <c r="A76" s="15" t="n"/>
      <c r="B76" s="16" t="n"/>
      <c r="C76" s="16" t="n"/>
      <c r="D76" s="15" t="n"/>
      <c r="E76" s="15" t="n"/>
      <c r="F76" s="15">
        <f>IFERROR(VLOOKUP(D76, Config!A:B, 2, FALSE), "")</f>
        <v/>
      </c>
      <c r="G76" s="15">
        <f>IF(E76="", "", WORKDAY(E76, F76))</f>
        <v/>
      </c>
      <c r="H76" s="15" t="n"/>
      <c r="I76" s="15" t="n"/>
      <c r="J76" s="16" t="n"/>
    </row>
    <row r="77">
      <c r="A77" s="15" t="n"/>
      <c r="B77" s="16" t="n"/>
      <c r="C77" s="16" t="n"/>
      <c r="D77" s="15" t="n"/>
      <c r="E77" s="15" t="n"/>
      <c r="F77" s="15">
        <f>IFERROR(VLOOKUP(D77, Config!A:B, 2, FALSE), "")</f>
        <v/>
      </c>
      <c r="G77" s="15">
        <f>IF(E77="", "", WORKDAY(E77, F77))</f>
        <v/>
      </c>
      <c r="H77" s="15" t="n"/>
      <c r="I77" s="15" t="n"/>
      <c r="J77" s="16" t="n"/>
    </row>
    <row r="78">
      <c r="A78" s="15" t="n"/>
      <c r="B78" s="16" t="n"/>
      <c r="C78" s="16" t="n"/>
      <c r="D78" s="15" t="n"/>
      <c r="E78" s="15" t="n"/>
      <c r="F78" s="15">
        <f>IFERROR(VLOOKUP(D78, Config!A:B, 2, FALSE), "")</f>
        <v/>
      </c>
      <c r="G78" s="15">
        <f>IF(E78="", "", WORKDAY(E78, F78))</f>
        <v/>
      </c>
      <c r="H78" s="15" t="n"/>
      <c r="I78" s="15" t="n"/>
      <c r="J78" s="16" t="n"/>
    </row>
    <row r="79">
      <c r="A79" s="15" t="n"/>
      <c r="B79" s="16" t="n"/>
      <c r="C79" s="16" t="n"/>
      <c r="D79" s="15" t="n"/>
      <c r="E79" s="15" t="n"/>
      <c r="F79" s="15">
        <f>IFERROR(VLOOKUP(D79, Config!A:B, 2, FALSE), "")</f>
        <v/>
      </c>
      <c r="G79" s="15">
        <f>IF(E79="", "", WORKDAY(E79, F79))</f>
        <v/>
      </c>
      <c r="H79" s="15" t="n"/>
      <c r="I79" s="15" t="n"/>
      <c r="J79" s="16" t="n"/>
    </row>
    <row r="80">
      <c r="A80" s="15" t="n"/>
      <c r="B80" s="16" t="n"/>
      <c r="C80" s="16" t="n"/>
      <c r="D80" s="15" t="n"/>
      <c r="E80" s="15" t="n"/>
      <c r="F80" s="15">
        <f>IFERROR(VLOOKUP(D80, Config!A:B, 2, FALSE), "")</f>
        <v/>
      </c>
      <c r="G80" s="15">
        <f>IF(E80="", "", WORKDAY(E80, F80))</f>
        <v/>
      </c>
      <c r="H80" s="15" t="n"/>
      <c r="I80" s="15" t="n"/>
      <c r="J80" s="16" t="n"/>
    </row>
    <row r="81">
      <c r="A81" s="15" t="n"/>
      <c r="B81" s="16" t="n"/>
      <c r="C81" s="16" t="n"/>
      <c r="D81" s="15" t="n"/>
      <c r="E81" s="15" t="n"/>
      <c r="F81" s="15">
        <f>IFERROR(VLOOKUP(D81, Config!A:B, 2, FALSE), "")</f>
        <v/>
      </c>
      <c r="G81" s="15">
        <f>IF(E81="", "", WORKDAY(E81, F81))</f>
        <v/>
      </c>
      <c r="H81" s="15" t="n"/>
      <c r="I81" s="15" t="n"/>
      <c r="J81" s="16" t="n"/>
    </row>
    <row r="82">
      <c r="A82" s="15" t="n"/>
      <c r="B82" s="16" t="n"/>
      <c r="C82" s="16" t="n"/>
      <c r="D82" s="15" t="n"/>
      <c r="E82" s="15" t="n"/>
      <c r="F82" s="15">
        <f>IFERROR(VLOOKUP(D82, Config!A:B, 2, FALSE), "")</f>
        <v/>
      </c>
      <c r="G82" s="15">
        <f>IF(E82="", "", WORKDAY(E82, F82))</f>
        <v/>
      </c>
      <c r="H82" s="15" t="n"/>
      <c r="I82" s="15" t="n"/>
      <c r="J82" s="16" t="n"/>
    </row>
    <row r="83">
      <c r="A83" s="15" t="n"/>
      <c r="B83" s="16" t="n"/>
      <c r="C83" s="16" t="n"/>
      <c r="D83" s="15" t="n"/>
      <c r="E83" s="15" t="n"/>
      <c r="F83" s="15">
        <f>IFERROR(VLOOKUP(D83, Config!A:B, 2, FALSE), "")</f>
        <v/>
      </c>
      <c r="G83" s="15">
        <f>IF(E83="", "", WORKDAY(E83, F83))</f>
        <v/>
      </c>
      <c r="H83" s="15" t="n"/>
      <c r="I83" s="15" t="n"/>
      <c r="J83" s="16" t="n"/>
    </row>
    <row r="84">
      <c r="A84" s="15" t="n"/>
      <c r="B84" s="16" t="n"/>
      <c r="C84" s="16" t="n"/>
      <c r="D84" s="15" t="n"/>
      <c r="E84" s="15" t="n"/>
      <c r="F84" s="15">
        <f>IFERROR(VLOOKUP(D84, Config!A:B, 2, FALSE), "")</f>
        <v/>
      </c>
      <c r="G84" s="15">
        <f>IF(E84="", "", WORKDAY(E84, F84))</f>
        <v/>
      </c>
      <c r="H84" s="15" t="n"/>
      <c r="I84" s="15" t="n"/>
      <c r="J84" s="16" t="n"/>
    </row>
    <row r="85">
      <c r="A85" s="15" t="n"/>
      <c r="B85" s="16" t="n"/>
      <c r="C85" s="16" t="n"/>
      <c r="D85" s="15" t="n"/>
      <c r="E85" s="15" t="n"/>
      <c r="F85" s="15">
        <f>IFERROR(VLOOKUP(D85, Config!A:B, 2, FALSE), "")</f>
        <v/>
      </c>
      <c r="G85" s="15">
        <f>IF(E85="", "", WORKDAY(E85, F85))</f>
        <v/>
      </c>
      <c r="H85" s="15" t="n"/>
      <c r="I85" s="15" t="n"/>
      <c r="J85" s="16" t="n"/>
    </row>
    <row r="86">
      <c r="A86" s="15" t="n"/>
      <c r="B86" s="16" t="n"/>
      <c r="C86" s="16" t="n"/>
      <c r="D86" s="15" t="n"/>
      <c r="E86" s="15" t="n"/>
      <c r="F86" s="15">
        <f>IFERROR(VLOOKUP(D86, Config!A:B, 2, FALSE), "")</f>
        <v/>
      </c>
      <c r="G86" s="15">
        <f>IF(E86="", "", WORKDAY(E86, F86))</f>
        <v/>
      </c>
      <c r="H86" s="15" t="n"/>
      <c r="I86" s="15" t="n"/>
      <c r="J86" s="16" t="n"/>
    </row>
    <row r="87">
      <c r="A87" s="15" t="n"/>
      <c r="B87" s="16" t="n"/>
      <c r="C87" s="16" t="n"/>
      <c r="D87" s="15" t="n"/>
      <c r="E87" s="15" t="n"/>
      <c r="F87" s="15">
        <f>IFERROR(VLOOKUP(D87, Config!A:B, 2, FALSE), "")</f>
        <v/>
      </c>
      <c r="G87" s="15">
        <f>IF(E87="", "", WORKDAY(E87, F87))</f>
        <v/>
      </c>
      <c r="H87" s="15" t="n"/>
      <c r="I87" s="15" t="n"/>
      <c r="J87" s="16" t="n"/>
    </row>
    <row r="88">
      <c r="A88" s="15" t="n"/>
      <c r="B88" s="16" t="n"/>
      <c r="C88" s="16" t="n"/>
      <c r="D88" s="15" t="n"/>
      <c r="E88" s="15" t="n"/>
      <c r="F88" s="15">
        <f>IFERROR(VLOOKUP(D88, Config!A:B, 2, FALSE), "")</f>
        <v/>
      </c>
      <c r="G88" s="15">
        <f>IF(E88="", "", WORKDAY(E88, F88))</f>
        <v/>
      </c>
      <c r="H88" s="15" t="n"/>
      <c r="I88" s="15" t="n"/>
      <c r="J88" s="16" t="n"/>
    </row>
    <row r="89">
      <c r="A89" s="15" t="n"/>
      <c r="B89" s="16" t="n"/>
      <c r="C89" s="16" t="n"/>
      <c r="D89" s="15" t="n"/>
      <c r="E89" s="15" t="n"/>
      <c r="F89" s="15">
        <f>IFERROR(VLOOKUP(D89, Config!A:B, 2, FALSE), "")</f>
        <v/>
      </c>
      <c r="G89" s="15">
        <f>IF(E89="", "", WORKDAY(E89, F89))</f>
        <v/>
      </c>
      <c r="H89" s="15" t="n"/>
      <c r="I89" s="15" t="n"/>
      <c r="J89" s="16" t="n"/>
    </row>
    <row r="90">
      <c r="A90" s="15" t="n"/>
      <c r="B90" s="16" t="n"/>
      <c r="C90" s="16" t="n"/>
      <c r="D90" s="15" t="n"/>
      <c r="E90" s="15" t="n"/>
      <c r="F90" s="15">
        <f>IFERROR(VLOOKUP(D90, Config!A:B, 2, FALSE), "")</f>
        <v/>
      </c>
      <c r="G90" s="15">
        <f>IF(E90="", "", WORKDAY(E90, F90))</f>
        <v/>
      </c>
      <c r="H90" s="15" t="n"/>
      <c r="I90" s="15" t="n"/>
      <c r="J90" s="16" t="n"/>
    </row>
    <row r="91">
      <c r="A91" s="15" t="n"/>
      <c r="B91" s="16" t="n"/>
      <c r="C91" s="16" t="n"/>
      <c r="D91" s="15" t="n"/>
      <c r="E91" s="15" t="n"/>
      <c r="F91" s="15">
        <f>IFERROR(VLOOKUP(D91, Config!A:B, 2, FALSE), "")</f>
        <v/>
      </c>
      <c r="G91" s="15">
        <f>IF(E91="", "", WORKDAY(E91, F91))</f>
        <v/>
      </c>
      <c r="H91" s="15" t="n"/>
      <c r="I91" s="15" t="n"/>
      <c r="J91" s="16" t="n"/>
    </row>
    <row r="92">
      <c r="A92" s="15" t="n"/>
      <c r="B92" s="16" t="n"/>
      <c r="C92" s="16" t="n"/>
      <c r="D92" s="15" t="n"/>
      <c r="E92" s="15" t="n"/>
      <c r="F92" s="15">
        <f>IFERROR(VLOOKUP(D92, Config!A:B, 2, FALSE), "")</f>
        <v/>
      </c>
      <c r="G92" s="15">
        <f>IF(E92="", "", WORKDAY(E92, F92))</f>
        <v/>
      </c>
      <c r="H92" s="15" t="n"/>
      <c r="I92" s="15" t="n"/>
      <c r="J92" s="16" t="n"/>
    </row>
    <row r="93">
      <c r="A93" s="15" t="n"/>
      <c r="B93" s="16" t="n"/>
      <c r="C93" s="16" t="n"/>
      <c r="D93" s="15" t="n"/>
      <c r="E93" s="15" t="n"/>
      <c r="F93" s="15">
        <f>IFERROR(VLOOKUP(D93, Config!A:B, 2, FALSE), "")</f>
        <v/>
      </c>
      <c r="G93" s="15">
        <f>IF(E93="", "", WORKDAY(E93, F93))</f>
        <v/>
      </c>
      <c r="H93" s="15" t="n"/>
      <c r="I93" s="15" t="n"/>
      <c r="J93" s="16" t="n"/>
    </row>
    <row r="94">
      <c r="A94" s="15" t="n"/>
      <c r="B94" s="16" t="n"/>
      <c r="C94" s="16" t="n"/>
      <c r="D94" s="15" t="n"/>
      <c r="E94" s="15" t="n"/>
      <c r="F94" s="15">
        <f>IFERROR(VLOOKUP(D94, Config!A:B, 2, FALSE), "")</f>
        <v/>
      </c>
      <c r="G94" s="15">
        <f>IF(E94="", "", WORKDAY(E94, F94))</f>
        <v/>
      </c>
      <c r="H94" s="15" t="n"/>
      <c r="I94" s="15" t="n"/>
      <c r="J94" s="16" t="n"/>
    </row>
    <row r="95">
      <c r="A95" s="15" t="n"/>
      <c r="B95" s="16" t="n"/>
      <c r="C95" s="16" t="n"/>
      <c r="D95" s="15" t="n"/>
      <c r="E95" s="15" t="n"/>
      <c r="F95" s="15">
        <f>IFERROR(VLOOKUP(D95, Config!A:B, 2, FALSE), "")</f>
        <v/>
      </c>
      <c r="G95" s="15">
        <f>IF(E95="", "", WORKDAY(E95, F95))</f>
        <v/>
      </c>
      <c r="H95" s="15" t="n"/>
      <c r="I95" s="15" t="n"/>
      <c r="J95" s="16" t="n"/>
    </row>
    <row r="96">
      <c r="A96" s="15" t="n"/>
      <c r="B96" s="16" t="n"/>
      <c r="C96" s="16" t="n"/>
      <c r="D96" s="15" t="n"/>
      <c r="E96" s="15" t="n"/>
      <c r="F96" s="15">
        <f>IFERROR(VLOOKUP(D96, Config!A:B, 2, FALSE), "")</f>
        <v/>
      </c>
      <c r="G96" s="15">
        <f>IF(E96="", "", WORKDAY(E96, F96))</f>
        <v/>
      </c>
      <c r="H96" s="15" t="n"/>
      <c r="I96" s="15" t="n"/>
      <c r="J96" s="16" t="n"/>
    </row>
    <row r="97">
      <c r="A97" s="15" t="n"/>
      <c r="B97" s="16" t="n"/>
      <c r="C97" s="16" t="n"/>
      <c r="D97" s="15" t="n"/>
      <c r="E97" s="15" t="n"/>
      <c r="F97" s="15">
        <f>IFERROR(VLOOKUP(D97, Config!A:B, 2, FALSE), "")</f>
        <v/>
      </c>
      <c r="G97" s="15">
        <f>IF(E97="", "", WORKDAY(E97, F97))</f>
        <v/>
      </c>
      <c r="H97" s="15" t="n"/>
      <c r="I97" s="15" t="n"/>
      <c r="J97" s="16" t="n"/>
    </row>
    <row r="98">
      <c r="A98" s="15" t="n"/>
      <c r="B98" s="16" t="n"/>
      <c r="C98" s="16" t="n"/>
      <c r="D98" s="15" t="n"/>
      <c r="E98" s="15" t="n"/>
      <c r="F98" s="15">
        <f>IFERROR(VLOOKUP(D98, Config!A:B, 2, FALSE), "")</f>
        <v/>
      </c>
      <c r="G98" s="15">
        <f>IF(E98="", "", WORKDAY(E98, F98))</f>
        <v/>
      </c>
      <c r="H98" s="15" t="n"/>
      <c r="I98" s="15" t="n"/>
      <c r="J98" s="16" t="n"/>
    </row>
    <row r="99">
      <c r="A99" s="15" t="n"/>
      <c r="B99" s="16" t="n"/>
      <c r="C99" s="16" t="n"/>
      <c r="D99" s="15" t="n"/>
      <c r="E99" s="15" t="n"/>
      <c r="F99" s="15">
        <f>IFERROR(VLOOKUP(D99, Config!A:B, 2, FALSE), "")</f>
        <v/>
      </c>
      <c r="G99" s="15">
        <f>IF(E99="", "", WORKDAY(E99, F99))</f>
        <v/>
      </c>
      <c r="H99" s="15" t="n"/>
      <c r="I99" s="15" t="n"/>
      <c r="J99" s="16" t="n"/>
    </row>
    <row r="100">
      <c r="A100" s="15" t="n"/>
      <c r="B100" s="16" t="n"/>
      <c r="C100" s="16" t="n"/>
      <c r="D100" s="15" t="n"/>
      <c r="E100" s="15" t="n"/>
      <c r="F100" s="15">
        <f>IFERROR(VLOOKUP(D100, Config!A:B, 2, FALSE), "")</f>
        <v/>
      </c>
      <c r="G100" s="15">
        <f>IF(E100="", "", WORKDAY(E100, F100))</f>
        <v/>
      </c>
      <c r="H100" s="15" t="n"/>
      <c r="I100" s="15" t="n"/>
      <c r="J100" s="16" t="n"/>
    </row>
  </sheetData>
  <conditionalFormatting sqref="D2:D1000">
    <cfRule type="cellIs" priority="1" operator="equal" dxfId="3">
      <formula>"Baixa"</formula>
    </cfRule>
    <cfRule type="cellIs" priority="2" operator="equal" dxfId="4">
      <formula>"Média"</formula>
    </cfRule>
    <cfRule type="cellIs" priority="3" operator="equal" dxfId="5">
      <formula>"Alta"</formula>
    </cfRule>
  </conditionalFormatting>
  <conditionalFormatting sqref="H2:H1000">
    <cfRule type="cellIs" priority="4" operator="equal" dxfId="3">
      <formula>"Finalizada"</formula>
    </cfRule>
  </conditionalFormatting>
  <dataValidations count="2">
    <dataValidation sqref="D2:D1000" showDropDown="1" showInputMessage="0" showErrorMessage="0" allowBlank="0" type="list">
      <formula1>"Baixa,Média,Alta"</formula1>
    </dataValidation>
    <dataValidation sqref="H2:H1000" showDropDown="1" showInputMessage="0" showErrorMessage="0" allowBlank="0" type="list">
      <formula1>"Pendente,Em Andamento,Finalizada"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25" customWidth="1" min="10" max="10"/>
  </cols>
  <sheetData>
    <row r="1">
      <c r="A1" s="14" t="inlineStr">
        <is>
          <t>ID</t>
        </is>
      </c>
      <c r="B1" s="14" t="inlineStr">
        <is>
          <t>Cliente</t>
        </is>
      </c>
      <c r="C1" s="14" t="inlineStr">
        <is>
          <t>Tipo de Ação</t>
        </is>
      </c>
      <c r="D1" s="14" t="inlineStr">
        <is>
          <t>Complexidade</t>
        </is>
      </c>
      <c r="E1" s="14" t="inlineStr">
        <is>
          <t>Data Envio Doc</t>
        </is>
      </c>
      <c r="F1" s="14" t="inlineStr">
        <is>
          <t>Prazo (Dias)</t>
        </is>
      </c>
      <c r="G1" s="14" t="inlineStr">
        <is>
          <t>Prazo Fatal</t>
        </is>
      </c>
      <c r="H1" s="14" t="inlineStr">
        <is>
          <t>Status</t>
        </is>
      </c>
      <c r="I1" s="14" t="inlineStr">
        <is>
          <t>Data Protocolo</t>
        </is>
      </c>
      <c r="J1" s="14" t="inlineStr">
        <is>
          <t>Advogado Responsável</t>
        </is>
      </c>
    </row>
    <row r="2">
      <c r="A2" s="15" t="n"/>
      <c r="B2" s="16" t="n"/>
      <c r="C2" s="16" t="n"/>
      <c r="D2" s="15" t="n"/>
      <c r="E2" s="15" t="n"/>
      <c r="F2" s="15">
        <f>IFERROR(VLOOKUP(D2, Config!A:B, 2, FALSE), "")</f>
        <v/>
      </c>
      <c r="G2" s="15">
        <f>IF(E2="", "", WORKDAY(E2, F2))</f>
        <v/>
      </c>
      <c r="H2" s="15" t="n"/>
      <c r="I2" s="15" t="n"/>
      <c r="J2" s="16" t="n"/>
    </row>
    <row r="3">
      <c r="A3" s="15" t="n"/>
      <c r="B3" s="16" t="n"/>
      <c r="C3" s="16" t="n"/>
      <c r="D3" s="15" t="n"/>
      <c r="E3" s="15" t="n"/>
      <c r="F3" s="15">
        <f>IFERROR(VLOOKUP(D3, Config!A:B, 2, FALSE), "")</f>
        <v/>
      </c>
      <c r="G3" s="15">
        <f>IF(E3="", "", WORKDAY(E3, F3))</f>
        <v/>
      </c>
      <c r="H3" s="15" t="n"/>
      <c r="I3" s="15" t="n"/>
      <c r="J3" s="16" t="n"/>
    </row>
    <row r="4">
      <c r="A4" s="15" t="n"/>
      <c r="B4" s="16" t="n"/>
      <c r="C4" s="16" t="n"/>
      <c r="D4" s="15" t="n"/>
      <c r="E4" s="15" t="n"/>
      <c r="F4" s="15">
        <f>IFERROR(VLOOKUP(D4, Config!A:B, 2, FALSE), "")</f>
        <v/>
      </c>
      <c r="G4" s="15">
        <f>IF(E4="", "", WORKDAY(E4, F4))</f>
        <v/>
      </c>
      <c r="H4" s="15" t="n"/>
      <c r="I4" s="15" t="n"/>
      <c r="J4" s="16" t="n"/>
    </row>
    <row r="5">
      <c r="A5" s="15" t="n"/>
      <c r="B5" s="16" t="n"/>
      <c r="C5" s="16" t="n"/>
      <c r="D5" s="15" t="n"/>
      <c r="E5" s="15" t="n"/>
      <c r="F5" s="15">
        <f>IFERROR(VLOOKUP(D5, Config!A:B, 2, FALSE), "")</f>
        <v/>
      </c>
      <c r="G5" s="15">
        <f>IF(E5="", "", WORKDAY(E5, F5))</f>
        <v/>
      </c>
      <c r="H5" s="15" t="n"/>
      <c r="I5" s="15" t="n"/>
      <c r="J5" s="16" t="n"/>
    </row>
    <row r="6">
      <c r="A6" s="15" t="n"/>
      <c r="B6" s="16" t="n"/>
      <c r="C6" s="16" t="n"/>
      <c r="D6" s="15" t="n"/>
      <c r="E6" s="15" t="n"/>
      <c r="F6" s="15">
        <f>IFERROR(VLOOKUP(D6, Config!A:B, 2, FALSE), "")</f>
        <v/>
      </c>
      <c r="G6" s="15">
        <f>IF(E6="", "", WORKDAY(E6, F6))</f>
        <v/>
      </c>
      <c r="H6" s="15" t="n"/>
      <c r="I6" s="15" t="n"/>
      <c r="J6" s="16" t="n"/>
    </row>
    <row r="7">
      <c r="A7" s="15" t="n"/>
      <c r="B7" s="16" t="n"/>
      <c r="C7" s="16" t="n"/>
      <c r="D7" s="15" t="n"/>
      <c r="E7" s="15" t="n"/>
      <c r="F7" s="15">
        <f>IFERROR(VLOOKUP(D7, Config!A:B, 2, FALSE), "")</f>
        <v/>
      </c>
      <c r="G7" s="15">
        <f>IF(E7="", "", WORKDAY(E7, F7))</f>
        <v/>
      </c>
      <c r="H7" s="15" t="n"/>
      <c r="I7" s="15" t="n"/>
      <c r="J7" s="16" t="n"/>
    </row>
    <row r="8">
      <c r="A8" s="15" t="n"/>
      <c r="B8" s="16" t="n"/>
      <c r="C8" s="16" t="n"/>
      <c r="D8" s="15" t="n"/>
      <c r="E8" s="15" t="n"/>
      <c r="F8" s="15">
        <f>IFERROR(VLOOKUP(D8, Config!A:B, 2, FALSE), "")</f>
        <v/>
      </c>
      <c r="G8" s="15">
        <f>IF(E8="", "", WORKDAY(E8, F8))</f>
        <v/>
      </c>
      <c r="H8" s="15" t="n"/>
      <c r="I8" s="15" t="n"/>
      <c r="J8" s="16" t="n"/>
    </row>
    <row r="9">
      <c r="A9" s="15" t="n"/>
      <c r="B9" s="16" t="n"/>
      <c r="C9" s="16" t="n"/>
      <c r="D9" s="15" t="n"/>
      <c r="E9" s="15" t="n"/>
      <c r="F9" s="15">
        <f>IFERROR(VLOOKUP(D9, Config!A:B, 2, FALSE), "")</f>
        <v/>
      </c>
      <c r="G9" s="15">
        <f>IF(E9="", "", WORKDAY(E9, F9))</f>
        <v/>
      </c>
      <c r="H9" s="15" t="n"/>
      <c r="I9" s="15" t="n"/>
      <c r="J9" s="16" t="n"/>
    </row>
    <row r="10">
      <c r="A10" s="15" t="n"/>
      <c r="B10" s="16" t="n"/>
      <c r="C10" s="16" t="n"/>
      <c r="D10" s="15" t="n"/>
      <c r="E10" s="15" t="n"/>
      <c r="F10" s="15">
        <f>IFERROR(VLOOKUP(D10, Config!A:B, 2, FALSE), "")</f>
        <v/>
      </c>
      <c r="G10" s="15">
        <f>IF(E10="", "", WORKDAY(E10, F10))</f>
        <v/>
      </c>
      <c r="H10" s="15" t="n"/>
      <c r="I10" s="15" t="n"/>
      <c r="J10" s="16" t="n"/>
    </row>
    <row r="11">
      <c r="A11" s="15" t="n"/>
      <c r="B11" s="16" t="n"/>
      <c r="C11" s="16" t="n"/>
      <c r="D11" s="15" t="n"/>
      <c r="E11" s="15" t="n"/>
      <c r="F11" s="15">
        <f>IFERROR(VLOOKUP(D11, Config!A:B, 2, FALSE), "")</f>
        <v/>
      </c>
      <c r="G11" s="15">
        <f>IF(E11="", "", WORKDAY(E11, F11))</f>
        <v/>
      </c>
      <c r="H11" s="15" t="n"/>
      <c r="I11" s="15" t="n"/>
      <c r="J11" s="16" t="n"/>
    </row>
    <row r="12">
      <c r="A12" s="15" t="n"/>
      <c r="B12" s="16" t="n"/>
      <c r="C12" s="16" t="n"/>
      <c r="D12" s="15" t="n"/>
      <c r="E12" s="15" t="n"/>
      <c r="F12" s="15">
        <f>IFERROR(VLOOKUP(D12, Config!A:B, 2, FALSE), "")</f>
        <v/>
      </c>
      <c r="G12" s="15">
        <f>IF(E12="", "", WORKDAY(E12, F12))</f>
        <v/>
      </c>
      <c r="H12" s="15" t="n"/>
      <c r="I12" s="15" t="n"/>
      <c r="J12" s="16" t="n"/>
    </row>
    <row r="13">
      <c r="A13" s="15" t="n"/>
      <c r="B13" s="16" t="n"/>
      <c r="C13" s="16" t="n"/>
      <c r="D13" s="15" t="n"/>
      <c r="E13" s="15" t="n"/>
      <c r="F13" s="15">
        <f>IFERROR(VLOOKUP(D13, Config!A:B, 2, FALSE), "")</f>
        <v/>
      </c>
      <c r="G13" s="15">
        <f>IF(E13="", "", WORKDAY(E13, F13))</f>
        <v/>
      </c>
      <c r="H13" s="15" t="n"/>
      <c r="I13" s="15" t="n"/>
      <c r="J13" s="16" t="n"/>
    </row>
    <row r="14">
      <c r="A14" s="15" t="n"/>
      <c r="B14" s="16" t="n"/>
      <c r="C14" s="16" t="n"/>
      <c r="D14" s="15" t="n"/>
      <c r="E14" s="15" t="n"/>
      <c r="F14" s="15">
        <f>IFERROR(VLOOKUP(D14, Config!A:B, 2, FALSE), "")</f>
        <v/>
      </c>
      <c r="G14" s="15">
        <f>IF(E14="", "", WORKDAY(E14, F14))</f>
        <v/>
      </c>
      <c r="H14" s="15" t="n"/>
      <c r="I14" s="15" t="n"/>
      <c r="J14" s="16" t="n"/>
    </row>
    <row r="15">
      <c r="A15" s="15" t="n"/>
      <c r="B15" s="16" t="n"/>
      <c r="C15" s="16" t="n"/>
      <c r="D15" s="15" t="n"/>
      <c r="E15" s="15" t="n"/>
      <c r="F15" s="15">
        <f>IFERROR(VLOOKUP(D15, Config!A:B, 2, FALSE), "")</f>
        <v/>
      </c>
      <c r="G15" s="15">
        <f>IF(E15="", "", WORKDAY(E15, F15))</f>
        <v/>
      </c>
      <c r="H15" s="15" t="n"/>
      <c r="I15" s="15" t="n"/>
      <c r="J15" s="16" t="n"/>
    </row>
    <row r="16">
      <c r="A16" s="15" t="n"/>
      <c r="B16" s="16" t="n"/>
      <c r="C16" s="16" t="n"/>
      <c r="D16" s="15" t="n"/>
      <c r="E16" s="15" t="n"/>
      <c r="F16" s="15">
        <f>IFERROR(VLOOKUP(D16, Config!A:B, 2, FALSE), "")</f>
        <v/>
      </c>
      <c r="G16" s="15">
        <f>IF(E16="", "", WORKDAY(E16, F16))</f>
        <v/>
      </c>
      <c r="H16" s="15" t="n"/>
      <c r="I16" s="15" t="n"/>
      <c r="J16" s="16" t="n"/>
    </row>
    <row r="17">
      <c r="A17" s="15" t="n"/>
      <c r="B17" s="16" t="n"/>
      <c r="C17" s="16" t="n"/>
      <c r="D17" s="15" t="n"/>
      <c r="E17" s="15" t="n"/>
      <c r="F17" s="15">
        <f>IFERROR(VLOOKUP(D17, Config!A:B, 2, FALSE), "")</f>
        <v/>
      </c>
      <c r="G17" s="15">
        <f>IF(E17="", "", WORKDAY(E17, F17))</f>
        <v/>
      </c>
      <c r="H17" s="15" t="n"/>
      <c r="I17" s="15" t="n"/>
      <c r="J17" s="16" t="n"/>
    </row>
    <row r="18">
      <c r="A18" s="15" t="n"/>
      <c r="B18" s="16" t="n"/>
      <c r="C18" s="16" t="n"/>
      <c r="D18" s="15" t="n"/>
      <c r="E18" s="15" t="n"/>
      <c r="F18" s="15">
        <f>IFERROR(VLOOKUP(D18, Config!A:B, 2, FALSE), "")</f>
        <v/>
      </c>
      <c r="G18" s="15">
        <f>IF(E18="", "", WORKDAY(E18, F18))</f>
        <v/>
      </c>
      <c r="H18" s="15" t="n"/>
      <c r="I18" s="15" t="n"/>
      <c r="J18" s="16" t="n"/>
    </row>
    <row r="19">
      <c r="A19" s="15" t="n"/>
      <c r="B19" s="16" t="n"/>
      <c r="C19" s="16" t="n"/>
      <c r="D19" s="15" t="n"/>
      <c r="E19" s="15" t="n"/>
      <c r="F19" s="15">
        <f>IFERROR(VLOOKUP(D19, Config!A:B, 2, FALSE), "")</f>
        <v/>
      </c>
      <c r="G19" s="15">
        <f>IF(E19="", "", WORKDAY(E19, F19))</f>
        <v/>
      </c>
      <c r="H19" s="15" t="n"/>
      <c r="I19" s="15" t="n"/>
      <c r="J19" s="16" t="n"/>
    </row>
    <row r="20">
      <c r="A20" s="15" t="n"/>
      <c r="B20" s="16" t="n"/>
      <c r="C20" s="16" t="n"/>
      <c r="D20" s="15" t="n"/>
      <c r="E20" s="15" t="n"/>
      <c r="F20" s="15">
        <f>IFERROR(VLOOKUP(D20, Config!A:B, 2, FALSE), "")</f>
        <v/>
      </c>
      <c r="G20" s="15">
        <f>IF(E20="", "", WORKDAY(E20, F20))</f>
        <v/>
      </c>
      <c r="H20" s="15" t="n"/>
      <c r="I20" s="15" t="n"/>
      <c r="J20" s="16" t="n"/>
    </row>
    <row r="21">
      <c r="A21" s="15" t="n"/>
      <c r="B21" s="16" t="n"/>
      <c r="C21" s="16" t="n"/>
      <c r="D21" s="15" t="n"/>
      <c r="E21" s="15" t="n"/>
      <c r="F21" s="15">
        <f>IFERROR(VLOOKUP(D21, Config!A:B, 2, FALSE), "")</f>
        <v/>
      </c>
      <c r="G21" s="15">
        <f>IF(E21="", "", WORKDAY(E21, F21))</f>
        <v/>
      </c>
      <c r="H21" s="15" t="n"/>
      <c r="I21" s="15" t="n"/>
      <c r="J21" s="16" t="n"/>
    </row>
    <row r="22">
      <c r="A22" s="15" t="n"/>
      <c r="B22" s="16" t="n"/>
      <c r="C22" s="16" t="n"/>
      <c r="D22" s="15" t="n"/>
      <c r="E22" s="15" t="n"/>
      <c r="F22" s="15">
        <f>IFERROR(VLOOKUP(D22, Config!A:B, 2, FALSE), "")</f>
        <v/>
      </c>
      <c r="G22" s="15">
        <f>IF(E22="", "", WORKDAY(E22, F22))</f>
        <v/>
      </c>
      <c r="H22" s="15" t="n"/>
      <c r="I22" s="15" t="n"/>
      <c r="J22" s="16" t="n"/>
    </row>
    <row r="23">
      <c r="A23" s="15" t="n"/>
      <c r="B23" s="16" t="n"/>
      <c r="C23" s="16" t="n"/>
      <c r="D23" s="15" t="n"/>
      <c r="E23" s="15" t="n"/>
      <c r="F23" s="15">
        <f>IFERROR(VLOOKUP(D23, Config!A:B, 2, FALSE), "")</f>
        <v/>
      </c>
      <c r="G23" s="15">
        <f>IF(E23="", "", WORKDAY(E23, F23))</f>
        <v/>
      </c>
      <c r="H23" s="15" t="n"/>
      <c r="I23" s="15" t="n"/>
      <c r="J23" s="16" t="n"/>
    </row>
    <row r="24">
      <c r="A24" s="15" t="n"/>
      <c r="B24" s="16" t="n"/>
      <c r="C24" s="16" t="n"/>
      <c r="D24" s="15" t="n"/>
      <c r="E24" s="15" t="n"/>
      <c r="F24" s="15">
        <f>IFERROR(VLOOKUP(D24, Config!A:B, 2, FALSE), "")</f>
        <v/>
      </c>
      <c r="G24" s="15">
        <f>IF(E24="", "", WORKDAY(E24, F24))</f>
        <v/>
      </c>
      <c r="H24" s="15" t="n"/>
      <c r="I24" s="15" t="n"/>
      <c r="J24" s="16" t="n"/>
    </row>
    <row r="25">
      <c r="A25" s="15" t="n"/>
      <c r="B25" s="16" t="n"/>
      <c r="C25" s="16" t="n"/>
      <c r="D25" s="15" t="n"/>
      <c r="E25" s="15" t="n"/>
      <c r="F25" s="15">
        <f>IFERROR(VLOOKUP(D25, Config!A:B, 2, FALSE), "")</f>
        <v/>
      </c>
      <c r="G25" s="15">
        <f>IF(E25="", "", WORKDAY(E25, F25))</f>
        <v/>
      </c>
      <c r="H25" s="15" t="n"/>
      <c r="I25" s="15" t="n"/>
      <c r="J25" s="16" t="n"/>
    </row>
    <row r="26">
      <c r="A26" s="15" t="n"/>
      <c r="B26" s="16" t="n"/>
      <c r="C26" s="16" t="n"/>
      <c r="D26" s="15" t="n"/>
      <c r="E26" s="15" t="n"/>
      <c r="F26" s="15">
        <f>IFERROR(VLOOKUP(D26, Config!A:B, 2, FALSE), "")</f>
        <v/>
      </c>
      <c r="G26" s="15">
        <f>IF(E26="", "", WORKDAY(E26, F26))</f>
        <v/>
      </c>
      <c r="H26" s="15" t="n"/>
      <c r="I26" s="15" t="n"/>
      <c r="J26" s="16" t="n"/>
    </row>
    <row r="27">
      <c r="A27" s="15" t="n"/>
      <c r="B27" s="16" t="n"/>
      <c r="C27" s="16" t="n"/>
      <c r="D27" s="15" t="n"/>
      <c r="E27" s="15" t="n"/>
      <c r="F27" s="15">
        <f>IFERROR(VLOOKUP(D27, Config!A:B, 2, FALSE), "")</f>
        <v/>
      </c>
      <c r="G27" s="15">
        <f>IF(E27="", "", WORKDAY(E27, F27))</f>
        <v/>
      </c>
      <c r="H27" s="15" t="n"/>
      <c r="I27" s="15" t="n"/>
      <c r="J27" s="16" t="n"/>
    </row>
    <row r="28">
      <c r="A28" s="15" t="n"/>
      <c r="B28" s="16" t="n"/>
      <c r="C28" s="16" t="n"/>
      <c r="D28" s="15" t="n"/>
      <c r="E28" s="15" t="n"/>
      <c r="F28" s="15">
        <f>IFERROR(VLOOKUP(D28, Config!A:B, 2, FALSE), "")</f>
        <v/>
      </c>
      <c r="G28" s="15">
        <f>IF(E28="", "", WORKDAY(E28, F28))</f>
        <v/>
      </c>
      <c r="H28" s="15" t="n"/>
      <c r="I28" s="15" t="n"/>
      <c r="J28" s="16" t="n"/>
    </row>
    <row r="29">
      <c r="A29" s="15" t="n"/>
      <c r="B29" s="16" t="n"/>
      <c r="C29" s="16" t="n"/>
      <c r="D29" s="15" t="n"/>
      <c r="E29" s="15" t="n"/>
      <c r="F29" s="15">
        <f>IFERROR(VLOOKUP(D29, Config!A:B, 2, FALSE), "")</f>
        <v/>
      </c>
      <c r="G29" s="15">
        <f>IF(E29="", "", WORKDAY(E29, F29))</f>
        <v/>
      </c>
      <c r="H29" s="15" t="n"/>
      <c r="I29" s="15" t="n"/>
      <c r="J29" s="16" t="n"/>
    </row>
    <row r="30">
      <c r="A30" s="15" t="n"/>
      <c r="B30" s="16" t="n"/>
      <c r="C30" s="16" t="n"/>
      <c r="D30" s="15" t="n"/>
      <c r="E30" s="15" t="n"/>
      <c r="F30" s="15">
        <f>IFERROR(VLOOKUP(D30, Config!A:B, 2, FALSE), "")</f>
        <v/>
      </c>
      <c r="G30" s="15">
        <f>IF(E30="", "", WORKDAY(E30, F30))</f>
        <v/>
      </c>
      <c r="H30" s="15" t="n"/>
      <c r="I30" s="15" t="n"/>
      <c r="J30" s="16" t="n"/>
    </row>
    <row r="31">
      <c r="A31" s="15" t="n"/>
      <c r="B31" s="16" t="n"/>
      <c r="C31" s="16" t="n"/>
      <c r="D31" s="15" t="n"/>
      <c r="E31" s="15" t="n"/>
      <c r="F31" s="15">
        <f>IFERROR(VLOOKUP(D31, Config!A:B, 2, FALSE), "")</f>
        <v/>
      </c>
      <c r="G31" s="15">
        <f>IF(E31="", "", WORKDAY(E31, F31))</f>
        <v/>
      </c>
      <c r="H31" s="15" t="n"/>
      <c r="I31" s="15" t="n"/>
      <c r="J31" s="16" t="n"/>
    </row>
    <row r="32">
      <c r="A32" s="15" t="n"/>
      <c r="B32" s="16" t="n"/>
      <c r="C32" s="16" t="n"/>
      <c r="D32" s="15" t="n"/>
      <c r="E32" s="15" t="n"/>
      <c r="F32" s="15">
        <f>IFERROR(VLOOKUP(D32, Config!A:B, 2, FALSE), "")</f>
        <v/>
      </c>
      <c r="G32" s="15">
        <f>IF(E32="", "", WORKDAY(E32, F32))</f>
        <v/>
      </c>
      <c r="H32" s="15" t="n"/>
      <c r="I32" s="15" t="n"/>
      <c r="J32" s="16" t="n"/>
    </row>
    <row r="33">
      <c r="A33" s="15" t="n"/>
      <c r="B33" s="16" t="n"/>
      <c r="C33" s="16" t="n"/>
      <c r="D33" s="15" t="n"/>
      <c r="E33" s="15" t="n"/>
      <c r="F33" s="15">
        <f>IFERROR(VLOOKUP(D33, Config!A:B, 2, FALSE), "")</f>
        <v/>
      </c>
      <c r="G33" s="15">
        <f>IF(E33="", "", WORKDAY(E33, F33))</f>
        <v/>
      </c>
      <c r="H33" s="15" t="n"/>
      <c r="I33" s="15" t="n"/>
      <c r="J33" s="16" t="n"/>
    </row>
    <row r="34">
      <c r="A34" s="15" t="n"/>
      <c r="B34" s="16" t="n"/>
      <c r="C34" s="16" t="n"/>
      <c r="D34" s="15" t="n"/>
      <c r="E34" s="15" t="n"/>
      <c r="F34" s="15">
        <f>IFERROR(VLOOKUP(D34, Config!A:B, 2, FALSE), "")</f>
        <v/>
      </c>
      <c r="G34" s="15">
        <f>IF(E34="", "", WORKDAY(E34, F34))</f>
        <v/>
      </c>
      <c r="H34" s="15" t="n"/>
      <c r="I34" s="15" t="n"/>
      <c r="J34" s="16" t="n"/>
    </row>
    <row r="35">
      <c r="A35" s="15" t="n"/>
      <c r="B35" s="16" t="n"/>
      <c r="C35" s="16" t="n"/>
      <c r="D35" s="15" t="n"/>
      <c r="E35" s="15" t="n"/>
      <c r="F35" s="15">
        <f>IFERROR(VLOOKUP(D35, Config!A:B, 2, FALSE), "")</f>
        <v/>
      </c>
      <c r="G35" s="15">
        <f>IF(E35="", "", WORKDAY(E35, F35))</f>
        <v/>
      </c>
      <c r="H35" s="15" t="n"/>
      <c r="I35" s="15" t="n"/>
      <c r="J35" s="16" t="n"/>
    </row>
    <row r="36">
      <c r="A36" s="15" t="n"/>
      <c r="B36" s="16" t="n"/>
      <c r="C36" s="16" t="n"/>
      <c r="D36" s="15" t="n"/>
      <c r="E36" s="15" t="n"/>
      <c r="F36" s="15">
        <f>IFERROR(VLOOKUP(D36, Config!A:B, 2, FALSE), "")</f>
        <v/>
      </c>
      <c r="G36" s="15">
        <f>IF(E36="", "", WORKDAY(E36, F36))</f>
        <v/>
      </c>
      <c r="H36" s="15" t="n"/>
      <c r="I36" s="15" t="n"/>
      <c r="J36" s="16" t="n"/>
    </row>
    <row r="37">
      <c r="A37" s="15" t="n"/>
      <c r="B37" s="16" t="n"/>
      <c r="C37" s="16" t="n"/>
      <c r="D37" s="15" t="n"/>
      <c r="E37" s="15" t="n"/>
      <c r="F37" s="15">
        <f>IFERROR(VLOOKUP(D37, Config!A:B, 2, FALSE), "")</f>
        <v/>
      </c>
      <c r="G37" s="15">
        <f>IF(E37="", "", WORKDAY(E37, F37))</f>
        <v/>
      </c>
      <c r="H37" s="15" t="n"/>
      <c r="I37" s="15" t="n"/>
      <c r="J37" s="16" t="n"/>
    </row>
    <row r="38">
      <c r="A38" s="15" t="n"/>
      <c r="B38" s="16" t="n"/>
      <c r="C38" s="16" t="n"/>
      <c r="D38" s="15" t="n"/>
      <c r="E38" s="15" t="n"/>
      <c r="F38" s="15">
        <f>IFERROR(VLOOKUP(D38, Config!A:B, 2, FALSE), "")</f>
        <v/>
      </c>
      <c r="G38" s="15">
        <f>IF(E38="", "", WORKDAY(E38, F38))</f>
        <v/>
      </c>
      <c r="H38" s="15" t="n"/>
      <c r="I38" s="15" t="n"/>
      <c r="J38" s="16" t="n"/>
    </row>
    <row r="39">
      <c r="A39" s="15" t="n"/>
      <c r="B39" s="16" t="n"/>
      <c r="C39" s="16" t="n"/>
      <c r="D39" s="15" t="n"/>
      <c r="E39" s="15" t="n"/>
      <c r="F39" s="15">
        <f>IFERROR(VLOOKUP(D39, Config!A:B, 2, FALSE), "")</f>
        <v/>
      </c>
      <c r="G39" s="15">
        <f>IF(E39="", "", WORKDAY(E39, F39))</f>
        <v/>
      </c>
      <c r="H39" s="15" t="n"/>
      <c r="I39" s="15" t="n"/>
      <c r="J39" s="16" t="n"/>
    </row>
    <row r="40">
      <c r="A40" s="15" t="n"/>
      <c r="B40" s="16" t="n"/>
      <c r="C40" s="16" t="n"/>
      <c r="D40" s="15" t="n"/>
      <c r="E40" s="15" t="n"/>
      <c r="F40" s="15">
        <f>IFERROR(VLOOKUP(D40, Config!A:B, 2, FALSE), "")</f>
        <v/>
      </c>
      <c r="G40" s="15">
        <f>IF(E40="", "", WORKDAY(E40, F40))</f>
        <v/>
      </c>
      <c r="H40" s="15" t="n"/>
      <c r="I40" s="15" t="n"/>
      <c r="J40" s="16" t="n"/>
    </row>
    <row r="41">
      <c r="A41" s="15" t="n"/>
      <c r="B41" s="16" t="n"/>
      <c r="C41" s="16" t="n"/>
      <c r="D41" s="15" t="n"/>
      <c r="E41" s="15" t="n"/>
      <c r="F41" s="15">
        <f>IFERROR(VLOOKUP(D41, Config!A:B, 2, FALSE), "")</f>
        <v/>
      </c>
      <c r="G41" s="15">
        <f>IF(E41="", "", WORKDAY(E41, F41))</f>
        <v/>
      </c>
      <c r="H41" s="15" t="n"/>
      <c r="I41" s="15" t="n"/>
      <c r="J41" s="16" t="n"/>
    </row>
    <row r="42">
      <c r="A42" s="15" t="n"/>
      <c r="B42" s="16" t="n"/>
      <c r="C42" s="16" t="n"/>
      <c r="D42" s="15" t="n"/>
      <c r="E42" s="15" t="n"/>
      <c r="F42" s="15">
        <f>IFERROR(VLOOKUP(D42, Config!A:B, 2, FALSE), "")</f>
        <v/>
      </c>
      <c r="G42" s="15">
        <f>IF(E42="", "", WORKDAY(E42, F42))</f>
        <v/>
      </c>
      <c r="H42" s="15" t="n"/>
      <c r="I42" s="15" t="n"/>
      <c r="J42" s="16" t="n"/>
    </row>
    <row r="43">
      <c r="A43" s="15" t="n"/>
      <c r="B43" s="16" t="n"/>
      <c r="C43" s="16" t="n"/>
      <c r="D43" s="15" t="n"/>
      <c r="E43" s="15" t="n"/>
      <c r="F43" s="15">
        <f>IFERROR(VLOOKUP(D43, Config!A:B, 2, FALSE), "")</f>
        <v/>
      </c>
      <c r="G43" s="15">
        <f>IF(E43="", "", WORKDAY(E43, F43))</f>
        <v/>
      </c>
      <c r="H43" s="15" t="n"/>
      <c r="I43" s="15" t="n"/>
      <c r="J43" s="16" t="n"/>
    </row>
    <row r="44">
      <c r="A44" s="15" t="n"/>
      <c r="B44" s="16" t="n"/>
      <c r="C44" s="16" t="n"/>
      <c r="D44" s="15" t="n"/>
      <c r="E44" s="15" t="n"/>
      <c r="F44" s="15">
        <f>IFERROR(VLOOKUP(D44, Config!A:B, 2, FALSE), "")</f>
        <v/>
      </c>
      <c r="G44" s="15">
        <f>IF(E44="", "", WORKDAY(E44, F44))</f>
        <v/>
      </c>
      <c r="H44" s="15" t="n"/>
      <c r="I44" s="15" t="n"/>
      <c r="J44" s="16" t="n"/>
    </row>
    <row r="45">
      <c r="A45" s="15" t="n"/>
      <c r="B45" s="16" t="n"/>
      <c r="C45" s="16" t="n"/>
      <c r="D45" s="15" t="n"/>
      <c r="E45" s="15" t="n"/>
      <c r="F45" s="15">
        <f>IFERROR(VLOOKUP(D45, Config!A:B, 2, FALSE), "")</f>
        <v/>
      </c>
      <c r="G45" s="15">
        <f>IF(E45="", "", WORKDAY(E45, F45))</f>
        <v/>
      </c>
      <c r="H45" s="15" t="n"/>
      <c r="I45" s="15" t="n"/>
      <c r="J45" s="16" t="n"/>
    </row>
    <row r="46">
      <c r="A46" s="15" t="n"/>
      <c r="B46" s="16" t="n"/>
      <c r="C46" s="16" t="n"/>
      <c r="D46" s="15" t="n"/>
      <c r="E46" s="15" t="n"/>
      <c r="F46" s="15">
        <f>IFERROR(VLOOKUP(D46, Config!A:B, 2, FALSE), "")</f>
        <v/>
      </c>
      <c r="G46" s="15">
        <f>IF(E46="", "", WORKDAY(E46, F46))</f>
        <v/>
      </c>
      <c r="H46" s="15" t="n"/>
      <c r="I46" s="15" t="n"/>
      <c r="J46" s="16" t="n"/>
    </row>
    <row r="47">
      <c r="A47" s="15" t="n"/>
      <c r="B47" s="16" t="n"/>
      <c r="C47" s="16" t="n"/>
      <c r="D47" s="15" t="n"/>
      <c r="E47" s="15" t="n"/>
      <c r="F47" s="15">
        <f>IFERROR(VLOOKUP(D47, Config!A:B, 2, FALSE), "")</f>
        <v/>
      </c>
      <c r="G47" s="15">
        <f>IF(E47="", "", WORKDAY(E47, F47))</f>
        <v/>
      </c>
      <c r="H47" s="15" t="n"/>
      <c r="I47" s="15" t="n"/>
      <c r="J47" s="16" t="n"/>
    </row>
    <row r="48">
      <c r="A48" s="15" t="n"/>
      <c r="B48" s="16" t="n"/>
      <c r="C48" s="16" t="n"/>
      <c r="D48" s="15" t="n"/>
      <c r="E48" s="15" t="n"/>
      <c r="F48" s="15">
        <f>IFERROR(VLOOKUP(D48, Config!A:B, 2, FALSE), "")</f>
        <v/>
      </c>
      <c r="G48" s="15">
        <f>IF(E48="", "", WORKDAY(E48, F48))</f>
        <v/>
      </c>
      <c r="H48" s="15" t="n"/>
      <c r="I48" s="15" t="n"/>
      <c r="J48" s="16" t="n"/>
    </row>
    <row r="49">
      <c r="A49" s="15" t="n"/>
      <c r="B49" s="16" t="n"/>
      <c r="C49" s="16" t="n"/>
      <c r="D49" s="15" t="n"/>
      <c r="E49" s="15" t="n"/>
      <c r="F49" s="15">
        <f>IFERROR(VLOOKUP(D49, Config!A:B, 2, FALSE), "")</f>
        <v/>
      </c>
      <c r="G49" s="15">
        <f>IF(E49="", "", WORKDAY(E49, F49))</f>
        <v/>
      </c>
      <c r="H49" s="15" t="n"/>
      <c r="I49" s="15" t="n"/>
      <c r="J49" s="16" t="n"/>
    </row>
    <row r="50">
      <c r="A50" s="15" t="n"/>
      <c r="B50" s="16" t="n"/>
      <c r="C50" s="16" t="n"/>
      <c r="D50" s="15" t="n"/>
      <c r="E50" s="15" t="n"/>
      <c r="F50" s="15">
        <f>IFERROR(VLOOKUP(D50, Config!A:B, 2, FALSE), "")</f>
        <v/>
      </c>
      <c r="G50" s="15">
        <f>IF(E50="", "", WORKDAY(E50, F50))</f>
        <v/>
      </c>
      <c r="H50" s="15" t="n"/>
      <c r="I50" s="15" t="n"/>
      <c r="J50" s="16" t="n"/>
    </row>
    <row r="51">
      <c r="A51" s="15" t="n"/>
      <c r="B51" s="16" t="n"/>
      <c r="C51" s="16" t="n"/>
      <c r="D51" s="15" t="n"/>
      <c r="E51" s="15" t="n"/>
      <c r="F51" s="15">
        <f>IFERROR(VLOOKUP(D51, Config!A:B, 2, FALSE), "")</f>
        <v/>
      </c>
      <c r="G51" s="15">
        <f>IF(E51="", "", WORKDAY(E51, F51))</f>
        <v/>
      </c>
      <c r="H51" s="15" t="n"/>
      <c r="I51" s="15" t="n"/>
      <c r="J51" s="16" t="n"/>
    </row>
    <row r="52">
      <c r="A52" s="15" t="n"/>
      <c r="B52" s="16" t="n"/>
      <c r="C52" s="16" t="n"/>
      <c r="D52" s="15" t="n"/>
      <c r="E52" s="15" t="n"/>
      <c r="F52" s="15">
        <f>IFERROR(VLOOKUP(D52, Config!A:B, 2, FALSE), "")</f>
        <v/>
      </c>
      <c r="G52" s="15">
        <f>IF(E52="", "", WORKDAY(E52, F52))</f>
        <v/>
      </c>
      <c r="H52" s="15" t="n"/>
      <c r="I52" s="15" t="n"/>
      <c r="J52" s="16" t="n"/>
    </row>
    <row r="53">
      <c r="A53" s="15" t="n"/>
      <c r="B53" s="16" t="n"/>
      <c r="C53" s="16" t="n"/>
      <c r="D53" s="15" t="n"/>
      <c r="E53" s="15" t="n"/>
      <c r="F53" s="15">
        <f>IFERROR(VLOOKUP(D53, Config!A:B, 2, FALSE), "")</f>
        <v/>
      </c>
      <c r="G53" s="15">
        <f>IF(E53="", "", WORKDAY(E53, F53))</f>
        <v/>
      </c>
      <c r="H53" s="15" t="n"/>
      <c r="I53" s="15" t="n"/>
      <c r="J53" s="16" t="n"/>
    </row>
    <row r="54">
      <c r="A54" s="15" t="n"/>
      <c r="B54" s="16" t="n"/>
      <c r="C54" s="16" t="n"/>
      <c r="D54" s="15" t="n"/>
      <c r="E54" s="15" t="n"/>
      <c r="F54" s="15">
        <f>IFERROR(VLOOKUP(D54, Config!A:B, 2, FALSE), "")</f>
        <v/>
      </c>
      <c r="G54" s="15">
        <f>IF(E54="", "", WORKDAY(E54, F54))</f>
        <v/>
      </c>
      <c r="H54" s="15" t="n"/>
      <c r="I54" s="15" t="n"/>
      <c r="J54" s="16" t="n"/>
    </row>
    <row r="55">
      <c r="A55" s="15" t="n"/>
      <c r="B55" s="16" t="n"/>
      <c r="C55" s="16" t="n"/>
      <c r="D55" s="15" t="n"/>
      <c r="E55" s="15" t="n"/>
      <c r="F55" s="15">
        <f>IFERROR(VLOOKUP(D55, Config!A:B, 2, FALSE), "")</f>
        <v/>
      </c>
      <c r="G55" s="15">
        <f>IF(E55="", "", WORKDAY(E55, F55))</f>
        <v/>
      </c>
      <c r="H55" s="15" t="n"/>
      <c r="I55" s="15" t="n"/>
      <c r="J55" s="16" t="n"/>
    </row>
    <row r="56">
      <c r="A56" s="15" t="n"/>
      <c r="B56" s="16" t="n"/>
      <c r="C56" s="16" t="n"/>
      <c r="D56" s="15" t="n"/>
      <c r="E56" s="15" t="n"/>
      <c r="F56" s="15">
        <f>IFERROR(VLOOKUP(D56, Config!A:B, 2, FALSE), "")</f>
        <v/>
      </c>
      <c r="G56" s="15">
        <f>IF(E56="", "", WORKDAY(E56, F56))</f>
        <v/>
      </c>
      <c r="H56" s="15" t="n"/>
      <c r="I56" s="15" t="n"/>
      <c r="J56" s="16" t="n"/>
    </row>
    <row r="57">
      <c r="A57" s="15" t="n"/>
      <c r="B57" s="16" t="n"/>
      <c r="C57" s="16" t="n"/>
      <c r="D57" s="15" t="n"/>
      <c r="E57" s="15" t="n"/>
      <c r="F57" s="15">
        <f>IFERROR(VLOOKUP(D57, Config!A:B, 2, FALSE), "")</f>
        <v/>
      </c>
      <c r="G57" s="15">
        <f>IF(E57="", "", WORKDAY(E57, F57))</f>
        <v/>
      </c>
      <c r="H57" s="15" t="n"/>
      <c r="I57" s="15" t="n"/>
      <c r="J57" s="16" t="n"/>
    </row>
    <row r="58">
      <c r="A58" s="15" t="n"/>
      <c r="B58" s="16" t="n"/>
      <c r="C58" s="16" t="n"/>
      <c r="D58" s="15" t="n"/>
      <c r="E58" s="15" t="n"/>
      <c r="F58" s="15">
        <f>IFERROR(VLOOKUP(D58, Config!A:B, 2, FALSE), "")</f>
        <v/>
      </c>
      <c r="G58" s="15">
        <f>IF(E58="", "", WORKDAY(E58, F58))</f>
        <v/>
      </c>
      <c r="H58" s="15" t="n"/>
      <c r="I58" s="15" t="n"/>
      <c r="J58" s="16" t="n"/>
    </row>
    <row r="59">
      <c r="A59" s="15" t="n"/>
      <c r="B59" s="16" t="n"/>
      <c r="C59" s="16" t="n"/>
      <c r="D59" s="15" t="n"/>
      <c r="E59" s="15" t="n"/>
      <c r="F59" s="15">
        <f>IFERROR(VLOOKUP(D59, Config!A:B, 2, FALSE), "")</f>
        <v/>
      </c>
      <c r="G59" s="15">
        <f>IF(E59="", "", WORKDAY(E59, F59))</f>
        <v/>
      </c>
      <c r="H59" s="15" t="n"/>
      <c r="I59" s="15" t="n"/>
      <c r="J59" s="16" t="n"/>
    </row>
    <row r="60">
      <c r="A60" s="15" t="n"/>
      <c r="B60" s="16" t="n"/>
      <c r="C60" s="16" t="n"/>
      <c r="D60" s="15" t="n"/>
      <c r="E60" s="15" t="n"/>
      <c r="F60" s="15">
        <f>IFERROR(VLOOKUP(D60, Config!A:B, 2, FALSE), "")</f>
        <v/>
      </c>
      <c r="G60" s="15">
        <f>IF(E60="", "", WORKDAY(E60, F60))</f>
        <v/>
      </c>
      <c r="H60" s="15" t="n"/>
      <c r="I60" s="15" t="n"/>
      <c r="J60" s="16" t="n"/>
    </row>
    <row r="61">
      <c r="A61" s="15" t="n"/>
      <c r="B61" s="16" t="n"/>
      <c r="C61" s="16" t="n"/>
      <c r="D61" s="15" t="n"/>
      <c r="E61" s="15" t="n"/>
      <c r="F61" s="15">
        <f>IFERROR(VLOOKUP(D61, Config!A:B, 2, FALSE), "")</f>
        <v/>
      </c>
      <c r="G61" s="15">
        <f>IF(E61="", "", WORKDAY(E61, F61))</f>
        <v/>
      </c>
      <c r="H61" s="15" t="n"/>
      <c r="I61" s="15" t="n"/>
      <c r="J61" s="16" t="n"/>
    </row>
    <row r="62">
      <c r="A62" s="15" t="n"/>
      <c r="B62" s="16" t="n"/>
      <c r="C62" s="16" t="n"/>
      <c r="D62" s="15" t="n"/>
      <c r="E62" s="15" t="n"/>
      <c r="F62" s="15">
        <f>IFERROR(VLOOKUP(D62, Config!A:B, 2, FALSE), "")</f>
        <v/>
      </c>
      <c r="G62" s="15">
        <f>IF(E62="", "", WORKDAY(E62, F62))</f>
        <v/>
      </c>
      <c r="H62" s="15" t="n"/>
      <c r="I62" s="15" t="n"/>
      <c r="J62" s="16" t="n"/>
    </row>
    <row r="63">
      <c r="A63" s="15" t="n"/>
      <c r="B63" s="16" t="n"/>
      <c r="C63" s="16" t="n"/>
      <c r="D63" s="15" t="n"/>
      <c r="E63" s="15" t="n"/>
      <c r="F63" s="15">
        <f>IFERROR(VLOOKUP(D63, Config!A:B, 2, FALSE), "")</f>
        <v/>
      </c>
      <c r="G63" s="15">
        <f>IF(E63="", "", WORKDAY(E63, F63))</f>
        <v/>
      </c>
      <c r="H63" s="15" t="n"/>
      <c r="I63" s="15" t="n"/>
      <c r="J63" s="16" t="n"/>
    </row>
    <row r="64">
      <c r="A64" s="15" t="n"/>
      <c r="B64" s="16" t="n"/>
      <c r="C64" s="16" t="n"/>
      <c r="D64" s="15" t="n"/>
      <c r="E64" s="15" t="n"/>
      <c r="F64" s="15">
        <f>IFERROR(VLOOKUP(D64, Config!A:B, 2, FALSE), "")</f>
        <v/>
      </c>
      <c r="G64" s="15">
        <f>IF(E64="", "", WORKDAY(E64, F64))</f>
        <v/>
      </c>
      <c r="H64" s="15" t="n"/>
      <c r="I64" s="15" t="n"/>
      <c r="J64" s="16" t="n"/>
    </row>
    <row r="65">
      <c r="A65" s="15" t="n"/>
      <c r="B65" s="16" t="n"/>
      <c r="C65" s="16" t="n"/>
      <c r="D65" s="15" t="n"/>
      <c r="E65" s="15" t="n"/>
      <c r="F65" s="15">
        <f>IFERROR(VLOOKUP(D65, Config!A:B, 2, FALSE), "")</f>
        <v/>
      </c>
      <c r="G65" s="15">
        <f>IF(E65="", "", WORKDAY(E65, F65))</f>
        <v/>
      </c>
      <c r="H65" s="15" t="n"/>
      <c r="I65" s="15" t="n"/>
      <c r="J65" s="16" t="n"/>
    </row>
    <row r="66">
      <c r="A66" s="15" t="n"/>
      <c r="B66" s="16" t="n"/>
      <c r="C66" s="16" t="n"/>
      <c r="D66" s="15" t="n"/>
      <c r="E66" s="15" t="n"/>
      <c r="F66" s="15">
        <f>IFERROR(VLOOKUP(D66, Config!A:B, 2, FALSE), "")</f>
        <v/>
      </c>
      <c r="G66" s="15">
        <f>IF(E66="", "", WORKDAY(E66, F66))</f>
        <v/>
      </c>
      <c r="H66" s="15" t="n"/>
      <c r="I66" s="15" t="n"/>
      <c r="J66" s="16" t="n"/>
    </row>
    <row r="67">
      <c r="A67" s="15" t="n"/>
      <c r="B67" s="16" t="n"/>
      <c r="C67" s="16" t="n"/>
      <c r="D67" s="15" t="n"/>
      <c r="E67" s="15" t="n"/>
      <c r="F67" s="15">
        <f>IFERROR(VLOOKUP(D67, Config!A:B, 2, FALSE), "")</f>
        <v/>
      </c>
      <c r="G67" s="15">
        <f>IF(E67="", "", WORKDAY(E67, F67))</f>
        <v/>
      </c>
      <c r="H67" s="15" t="n"/>
      <c r="I67" s="15" t="n"/>
      <c r="J67" s="16" t="n"/>
    </row>
    <row r="68">
      <c r="A68" s="15" t="n"/>
      <c r="B68" s="16" t="n"/>
      <c r="C68" s="16" t="n"/>
      <c r="D68" s="15" t="n"/>
      <c r="E68" s="15" t="n"/>
      <c r="F68" s="15">
        <f>IFERROR(VLOOKUP(D68, Config!A:B, 2, FALSE), "")</f>
        <v/>
      </c>
      <c r="G68" s="15">
        <f>IF(E68="", "", WORKDAY(E68, F68))</f>
        <v/>
      </c>
      <c r="H68" s="15" t="n"/>
      <c r="I68" s="15" t="n"/>
      <c r="J68" s="16" t="n"/>
    </row>
    <row r="69">
      <c r="A69" s="15" t="n"/>
      <c r="B69" s="16" t="n"/>
      <c r="C69" s="16" t="n"/>
      <c r="D69" s="15" t="n"/>
      <c r="E69" s="15" t="n"/>
      <c r="F69" s="15">
        <f>IFERROR(VLOOKUP(D69, Config!A:B, 2, FALSE), "")</f>
        <v/>
      </c>
      <c r="G69" s="15">
        <f>IF(E69="", "", WORKDAY(E69, F69))</f>
        <v/>
      </c>
      <c r="H69" s="15" t="n"/>
      <c r="I69" s="15" t="n"/>
      <c r="J69" s="16" t="n"/>
    </row>
    <row r="70">
      <c r="A70" s="15" t="n"/>
      <c r="B70" s="16" t="n"/>
      <c r="C70" s="16" t="n"/>
      <c r="D70" s="15" t="n"/>
      <c r="E70" s="15" t="n"/>
      <c r="F70" s="15">
        <f>IFERROR(VLOOKUP(D70, Config!A:B, 2, FALSE), "")</f>
        <v/>
      </c>
      <c r="G70" s="15">
        <f>IF(E70="", "", WORKDAY(E70, F70))</f>
        <v/>
      </c>
      <c r="H70" s="15" t="n"/>
      <c r="I70" s="15" t="n"/>
      <c r="J70" s="16" t="n"/>
    </row>
    <row r="71">
      <c r="A71" s="15" t="n"/>
      <c r="B71" s="16" t="n"/>
      <c r="C71" s="16" t="n"/>
      <c r="D71" s="15" t="n"/>
      <c r="E71" s="15" t="n"/>
      <c r="F71" s="15">
        <f>IFERROR(VLOOKUP(D71, Config!A:B, 2, FALSE), "")</f>
        <v/>
      </c>
      <c r="G71" s="15">
        <f>IF(E71="", "", WORKDAY(E71, F71))</f>
        <v/>
      </c>
      <c r="H71" s="15" t="n"/>
      <c r="I71" s="15" t="n"/>
      <c r="J71" s="16" t="n"/>
    </row>
    <row r="72">
      <c r="A72" s="15" t="n"/>
      <c r="B72" s="16" t="n"/>
      <c r="C72" s="16" t="n"/>
      <c r="D72" s="15" t="n"/>
      <c r="E72" s="15" t="n"/>
      <c r="F72" s="15">
        <f>IFERROR(VLOOKUP(D72, Config!A:B, 2, FALSE), "")</f>
        <v/>
      </c>
      <c r="G72" s="15">
        <f>IF(E72="", "", WORKDAY(E72, F72))</f>
        <v/>
      </c>
      <c r="H72" s="15" t="n"/>
      <c r="I72" s="15" t="n"/>
      <c r="J72" s="16" t="n"/>
    </row>
    <row r="73">
      <c r="A73" s="15" t="n"/>
      <c r="B73" s="16" t="n"/>
      <c r="C73" s="16" t="n"/>
      <c r="D73" s="15" t="n"/>
      <c r="E73" s="15" t="n"/>
      <c r="F73" s="15">
        <f>IFERROR(VLOOKUP(D73, Config!A:B, 2, FALSE), "")</f>
        <v/>
      </c>
      <c r="G73" s="15">
        <f>IF(E73="", "", WORKDAY(E73, F73))</f>
        <v/>
      </c>
      <c r="H73" s="15" t="n"/>
      <c r="I73" s="15" t="n"/>
      <c r="J73" s="16" t="n"/>
    </row>
    <row r="74">
      <c r="A74" s="15" t="n"/>
      <c r="B74" s="16" t="n"/>
      <c r="C74" s="16" t="n"/>
      <c r="D74" s="15" t="n"/>
      <c r="E74" s="15" t="n"/>
      <c r="F74" s="15">
        <f>IFERROR(VLOOKUP(D74, Config!A:B, 2, FALSE), "")</f>
        <v/>
      </c>
      <c r="G74" s="15">
        <f>IF(E74="", "", WORKDAY(E74, F74))</f>
        <v/>
      </c>
      <c r="H74" s="15" t="n"/>
      <c r="I74" s="15" t="n"/>
      <c r="J74" s="16" t="n"/>
    </row>
    <row r="75">
      <c r="A75" s="15" t="n"/>
      <c r="B75" s="16" t="n"/>
      <c r="C75" s="16" t="n"/>
      <c r="D75" s="15" t="n"/>
      <c r="E75" s="15" t="n"/>
      <c r="F75" s="15">
        <f>IFERROR(VLOOKUP(D75, Config!A:B, 2, FALSE), "")</f>
        <v/>
      </c>
      <c r="G75" s="15">
        <f>IF(E75="", "", WORKDAY(E75, F75))</f>
        <v/>
      </c>
      <c r="H75" s="15" t="n"/>
      <c r="I75" s="15" t="n"/>
      <c r="J75" s="16" t="n"/>
    </row>
    <row r="76">
      <c r="A76" s="15" t="n"/>
      <c r="B76" s="16" t="n"/>
      <c r="C76" s="16" t="n"/>
      <c r="D76" s="15" t="n"/>
      <c r="E76" s="15" t="n"/>
      <c r="F76" s="15">
        <f>IFERROR(VLOOKUP(D76, Config!A:B, 2, FALSE), "")</f>
        <v/>
      </c>
      <c r="G76" s="15">
        <f>IF(E76="", "", WORKDAY(E76, F76))</f>
        <v/>
      </c>
      <c r="H76" s="15" t="n"/>
      <c r="I76" s="15" t="n"/>
      <c r="J76" s="16" t="n"/>
    </row>
    <row r="77">
      <c r="A77" s="15" t="n"/>
      <c r="B77" s="16" t="n"/>
      <c r="C77" s="16" t="n"/>
      <c r="D77" s="15" t="n"/>
      <c r="E77" s="15" t="n"/>
      <c r="F77" s="15">
        <f>IFERROR(VLOOKUP(D77, Config!A:B, 2, FALSE), "")</f>
        <v/>
      </c>
      <c r="G77" s="15">
        <f>IF(E77="", "", WORKDAY(E77, F77))</f>
        <v/>
      </c>
      <c r="H77" s="15" t="n"/>
      <c r="I77" s="15" t="n"/>
      <c r="J77" s="16" t="n"/>
    </row>
    <row r="78">
      <c r="A78" s="15" t="n"/>
      <c r="B78" s="16" t="n"/>
      <c r="C78" s="16" t="n"/>
      <c r="D78" s="15" t="n"/>
      <c r="E78" s="15" t="n"/>
      <c r="F78" s="15">
        <f>IFERROR(VLOOKUP(D78, Config!A:B, 2, FALSE), "")</f>
        <v/>
      </c>
      <c r="G78" s="15">
        <f>IF(E78="", "", WORKDAY(E78, F78))</f>
        <v/>
      </c>
      <c r="H78" s="15" t="n"/>
      <c r="I78" s="15" t="n"/>
      <c r="J78" s="16" t="n"/>
    </row>
    <row r="79">
      <c r="A79" s="15" t="n"/>
      <c r="B79" s="16" t="n"/>
      <c r="C79" s="16" t="n"/>
      <c r="D79" s="15" t="n"/>
      <c r="E79" s="15" t="n"/>
      <c r="F79" s="15">
        <f>IFERROR(VLOOKUP(D79, Config!A:B, 2, FALSE), "")</f>
        <v/>
      </c>
      <c r="G79" s="15">
        <f>IF(E79="", "", WORKDAY(E79, F79))</f>
        <v/>
      </c>
      <c r="H79" s="15" t="n"/>
      <c r="I79" s="15" t="n"/>
      <c r="J79" s="16" t="n"/>
    </row>
    <row r="80">
      <c r="A80" s="15" t="n"/>
      <c r="B80" s="16" t="n"/>
      <c r="C80" s="16" t="n"/>
      <c r="D80" s="15" t="n"/>
      <c r="E80" s="15" t="n"/>
      <c r="F80" s="15">
        <f>IFERROR(VLOOKUP(D80, Config!A:B, 2, FALSE), "")</f>
        <v/>
      </c>
      <c r="G80" s="15">
        <f>IF(E80="", "", WORKDAY(E80, F80))</f>
        <v/>
      </c>
      <c r="H80" s="15" t="n"/>
      <c r="I80" s="15" t="n"/>
      <c r="J80" s="16" t="n"/>
    </row>
    <row r="81">
      <c r="A81" s="15" t="n"/>
      <c r="B81" s="16" t="n"/>
      <c r="C81" s="16" t="n"/>
      <c r="D81" s="15" t="n"/>
      <c r="E81" s="15" t="n"/>
      <c r="F81" s="15">
        <f>IFERROR(VLOOKUP(D81, Config!A:B, 2, FALSE), "")</f>
        <v/>
      </c>
      <c r="G81" s="15">
        <f>IF(E81="", "", WORKDAY(E81, F81))</f>
        <v/>
      </c>
      <c r="H81" s="15" t="n"/>
      <c r="I81" s="15" t="n"/>
      <c r="J81" s="16" t="n"/>
    </row>
    <row r="82">
      <c r="A82" s="15" t="n"/>
      <c r="B82" s="16" t="n"/>
      <c r="C82" s="16" t="n"/>
      <c r="D82" s="15" t="n"/>
      <c r="E82" s="15" t="n"/>
      <c r="F82" s="15">
        <f>IFERROR(VLOOKUP(D82, Config!A:B, 2, FALSE), "")</f>
        <v/>
      </c>
      <c r="G82" s="15">
        <f>IF(E82="", "", WORKDAY(E82, F82))</f>
        <v/>
      </c>
      <c r="H82" s="15" t="n"/>
      <c r="I82" s="15" t="n"/>
      <c r="J82" s="16" t="n"/>
    </row>
    <row r="83">
      <c r="A83" s="15" t="n"/>
      <c r="B83" s="16" t="n"/>
      <c r="C83" s="16" t="n"/>
      <c r="D83" s="15" t="n"/>
      <c r="E83" s="15" t="n"/>
      <c r="F83" s="15">
        <f>IFERROR(VLOOKUP(D83, Config!A:B, 2, FALSE), "")</f>
        <v/>
      </c>
      <c r="G83" s="15">
        <f>IF(E83="", "", WORKDAY(E83, F83))</f>
        <v/>
      </c>
      <c r="H83" s="15" t="n"/>
      <c r="I83" s="15" t="n"/>
      <c r="J83" s="16" t="n"/>
    </row>
    <row r="84">
      <c r="A84" s="15" t="n"/>
      <c r="B84" s="16" t="n"/>
      <c r="C84" s="16" t="n"/>
      <c r="D84" s="15" t="n"/>
      <c r="E84" s="15" t="n"/>
      <c r="F84" s="15">
        <f>IFERROR(VLOOKUP(D84, Config!A:B, 2, FALSE), "")</f>
        <v/>
      </c>
      <c r="G84" s="15">
        <f>IF(E84="", "", WORKDAY(E84, F84))</f>
        <v/>
      </c>
      <c r="H84" s="15" t="n"/>
      <c r="I84" s="15" t="n"/>
      <c r="J84" s="16" t="n"/>
    </row>
    <row r="85">
      <c r="A85" s="15" t="n"/>
      <c r="B85" s="16" t="n"/>
      <c r="C85" s="16" t="n"/>
      <c r="D85" s="15" t="n"/>
      <c r="E85" s="15" t="n"/>
      <c r="F85" s="15">
        <f>IFERROR(VLOOKUP(D85, Config!A:B, 2, FALSE), "")</f>
        <v/>
      </c>
      <c r="G85" s="15">
        <f>IF(E85="", "", WORKDAY(E85, F85))</f>
        <v/>
      </c>
      <c r="H85" s="15" t="n"/>
      <c r="I85" s="15" t="n"/>
      <c r="J85" s="16" t="n"/>
    </row>
    <row r="86">
      <c r="A86" s="15" t="n"/>
      <c r="B86" s="16" t="n"/>
      <c r="C86" s="16" t="n"/>
      <c r="D86" s="15" t="n"/>
      <c r="E86" s="15" t="n"/>
      <c r="F86" s="15">
        <f>IFERROR(VLOOKUP(D86, Config!A:B, 2, FALSE), "")</f>
        <v/>
      </c>
      <c r="G86" s="15">
        <f>IF(E86="", "", WORKDAY(E86, F86))</f>
        <v/>
      </c>
      <c r="H86" s="15" t="n"/>
      <c r="I86" s="15" t="n"/>
      <c r="J86" s="16" t="n"/>
    </row>
    <row r="87">
      <c r="A87" s="15" t="n"/>
      <c r="B87" s="16" t="n"/>
      <c r="C87" s="16" t="n"/>
      <c r="D87" s="15" t="n"/>
      <c r="E87" s="15" t="n"/>
      <c r="F87" s="15">
        <f>IFERROR(VLOOKUP(D87, Config!A:B, 2, FALSE), "")</f>
        <v/>
      </c>
      <c r="G87" s="15">
        <f>IF(E87="", "", WORKDAY(E87, F87))</f>
        <v/>
      </c>
      <c r="H87" s="15" t="n"/>
      <c r="I87" s="15" t="n"/>
      <c r="J87" s="16" t="n"/>
    </row>
    <row r="88">
      <c r="A88" s="15" t="n"/>
      <c r="B88" s="16" t="n"/>
      <c r="C88" s="16" t="n"/>
      <c r="D88" s="15" t="n"/>
      <c r="E88" s="15" t="n"/>
      <c r="F88" s="15">
        <f>IFERROR(VLOOKUP(D88, Config!A:B, 2, FALSE), "")</f>
        <v/>
      </c>
      <c r="G88" s="15">
        <f>IF(E88="", "", WORKDAY(E88, F88))</f>
        <v/>
      </c>
      <c r="H88" s="15" t="n"/>
      <c r="I88" s="15" t="n"/>
      <c r="J88" s="16" t="n"/>
    </row>
    <row r="89">
      <c r="A89" s="15" t="n"/>
      <c r="B89" s="16" t="n"/>
      <c r="C89" s="16" t="n"/>
      <c r="D89" s="15" t="n"/>
      <c r="E89" s="15" t="n"/>
      <c r="F89" s="15">
        <f>IFERROR(VLOOKUP(D89, Config!A:B, 2, FALSE), "")</f>
        <v/>
      </c>
      <c r="G89" s="15">
        <f>IF(E89="", "", WORKDAY(E89, F89))</f>
        <v/>
      </c>
      <c r="H89" s="15" t="n"/>
      <c r="I89" s="15" t="n"/>
      <c r="J89" s="16" t="n"/>
    </row>
    <row r="90">
      <c r="A90" s="15" t="n"/>
      <c r="B90" s="16" t="n"/>
      <c r="C90" s="16" t="n"/>
      <c r="D90" s="15" t="n"/>
      <c r="E90" s="15" t="n"/>
      <c r="F90" s="15">
        <f>IFERROR(VLOOKUP(D90, Config!A:B, 2, FALSE), "")</f>
        <v/>
      </c>
      <c r="G90" s="15">
        <f>IF(E90="", "", WORKDAY(E90, F90))</f>
        <v/>
      </c>
      <c r="H90" s="15" t="n"/>
      <c r="I90" s="15" t="n"/>
      <c r="J90" s="16" t="n"/>
    </row>
    <row r="91">
      <c r="A91" s="15" t="n"/>
      <c r="B91" s="16" t="n"/>
      <c r="C91" s="16" t="n"/>
      <c r="D91" s="15" t="n"/>
      <c r="E91" s="15" t="n"/>
      <c r="F91" s="15">
        <f>IFERROR(VLOOKUP(D91, Config!A:B, 2, FALSE), "")</f>
        <v/>
      </c>
      <c r="G91" s="15">
        <f>IF(E91="", "", WORKDAY(E91, F91))</f>
        <v/>
      </c>
      <c r="H91" s="15" t="n"/>
      <c r="I91" s="15" t="n"/>
      <c r="J91" s="16" t="n"/>
    </row>
    <row r="92">
      <c r="A92" s="15" t="n"/>
      <c r="B92" s="16" t="n"/>
      <c r="C92" s="16" t="n"/>
      <c r="D92" s="15" t="n"/>
      <c r="E92" s="15" t="n"/>
      <c r="F92" s="15">
        <f>IFERROR(VLOOKUP(D92, Config!A:B, 2, FALSE), "")</f>
        <v/>
      </c>
      <c r="G92" s="15">
        <f>IF(E92="", "", WORKDAY(E92, F92))</f>
        <v/>
      </c>
      <c r="H92" s="15" t="n"/>
      <c r="I92" s="15" t="n"/>
      <c r="J92" s="16" t="n"/>
    </row>
    <row r="93">
      <c r="A93" s="15" t="n"/>
      <c r="B93" s="16" t="n"/>
      <c r="C93" s="16" t="n"/>
      <c r="D93" s="15" t="n"/>
      <c r="E93" s="15" t="n"/>
      <c r="F93" s="15">
        <f>IFERROR(VLOOKUP(D93, Config!A:B, 2, FALSE), "")</f>
        <v/>
      </c>
      <c r="G93" s="15">
        <f>IF(E93="", "", WORKDAY(E93, F93))</f>
        <v/>
      </c>
      <c r="H93" s="15" t="n"/>
      <c r="I93" s="15" t="n"/>
      <c r="J93" s="16" t="n"/>
    </row>
    <row r="94">
      <c r="A94" s="15" t="n"/>
      <c r="B94" s="16" t="n"/>
      <c r="C94" s="16" t="n"/>
      <c r="D94" s="15" t="n"/>
      <c r="E94" s="15" t="n"/>
      <c r="F94" s="15">
        <f>IFERROR(VLOOKUP(D94, Config!A:B, 2, FALSE), "")</f>
        <v/>
      </c>
      <c r="G94" s="15">
        <f>IF(E94="", "", WORKDAY(E94, F94))</f>
        <v/>
      </c>
      <c r="H94" s="15" t="n"/>
      <c r="I94" s="15" t="n"/>
      <c r="J94" s="16" t="n"/>
    </row>
    <row r="95">
      <c r="A95" s="15" t="n"/>
      <c r="B95" s="16" t="n"/>
      <c r="C95" s="16" t="n"/>
      <c r="D95" s="15" t="n"/>
      <c r="E95" s="15" t="n"/>
      <c r="F95" s="15">
        <f>IFERROR(VLOOKUP(D95, Config!A:B, 2, FALSE), "")</f>
        <v/>
      </c>
      <c r="G95" s="15">
        <f>IF(E95="", "", WORKDAY(E95, F95))</f>
        <v/>
      </c>
      <c r="H95" s="15" t="n"/>
      <c r="I95" s="15" t="n"/>
      <c r="J95" s="16" t="n"/>
    </row>
    <row r="96">
      <c r="A96" s="15" t="n"/>
      <c r="B96" s="16" t="n"/>
      <c r="C96" s="16" t="n"/>
      <c r="D96" s="15" t="n"/>
      <c r="E96" s="15" t="n"/>
      <c r="F96" s="15">
        <f>IFERROR(VLOOKUP(D96, Config!A:B, 2, FALSE), "")</f>
        <v/>
      </c>
      <c r="G96" s="15">
        <f>IF(E96="", "", WORKDAY(E96, F96))</f>
        <v/>
      </c>
      <c r="H96" s="15" t="n"/>
      <c r="I96" s="15" t="n"/>
      <c r="J96" s="16" t="n"/>
    </row>
    <row r="97">
      <c r="A97" s="15" t="n"/>
      <c r="B97" s="16" t="n"/>
      <c r="C97" s="16" t="n"/>
      <c r="D97" s="15" t="n"/>
      <c r="E97" s="15" t="n"/>
      <c r="F97" s="15">
        <f>IFERROR(VLOOKUP(D97, Config!A:B, 2, FALSE), "")</f>
        <v/>
      </c>
      <c r="G97" s="15">
        <f>IF(E97="", "", WORKDAY(E97, F97))</f>
        <v/>
      </c>
      <c r="H97" s="15" t="n"/>
      <c r="I97" s="15" t="n"/>
      <c r="J97" s="16" t="n"/>
    </row>
    <row r="98">
      <c r="A98" s="15" t="n"/>
      <c r="B98" s="16" t="n"/>
      <c r="C98" s="16" t="n"/>
      <c r="D98" s="15" t="n"/>
      <c r="E98" s="15" t="n"/>
      <c r="F98" s="15">
        <f>IFERROR(VLOOKUP(D98, Config!A:B, 2, FALSE), "")</f>
        <v/>
      </c>
      <c r="G98" s="15">
        <f>IF(E98="", "", WORKDAY(E98, F98))</f>
        <v/>
      </c>
      <c r="H98" s="15" t="n"/>
      <c r="I98" s="15" t="n"/>
      <c r="J98" s="16" t="n"/>
    </row>
    <row r="99">
      <c r="A99" s="15" t="n"/>
      <c r="B99" s="16" t="n"/>
      <c r="C99" s="16" t="n"/>
      <c r="D99" s="15" t="n"/>
      <c r="E99" s="15" t="n"/>
      <c r="F99" s="15">
        <f>IFERROR(VLOOKUP(D99, Config!A:B, 2, FALSE), "")</f>
        <v/>
      </c>
      <c r="G99" s="15">
        <f>IF(E99="", "", WORKDAY(E99, F99))</f>
        <v/>
      </c>
      <c r="H99" s="15" t="n"/>
      <c r="I99" s="15" t="n"/>
      <c r="J99" s="16" t="n"/>
    </row>
    <row r="100">
      <c r="A100" s="15" t="n"/>
      <c r="B100" s="16" t="n"/>
      <c r="C100" s="16" t="n"/>
      <c r="D100" s="15" t="n"/>
      <c r="E100" s="15" t="n"/>
      <c r="F100" s="15">
        <f>IFERROR(VLOOKUP(D100, Config!A:B, 2, FALSE), "")</f>
        <v/>
      </c>
      <c r="G100" s="15">
        <f>IF(E100="", "", WORKDAY(E100, F100))</f>
        <v/>
      </c>
      <c r="H100" s="15" t="n"/>
      <c r="I100" s="15" t="n"/>
      <c r="J100" s="16" t="n"/>
    </row>
  </sheetData>
  <conditionalFormatting sqref="D2:D1000">
    <cfRule type="cellIs" priority="1" operator="equal" dxfId="3">
      <formula>"Baixa"</formula>
    </cfRule>
    <cfRule type="cellIs" priority="2" operator="equal" dxfId="4">
      <formula>"Média"</formula>
    </cfRule>
    <cfRule type="cellIs" priority="3" operator="equal" dxfId="5">
      <formula>"Alta"</formula>
    </cfRule>
  </conditionalFormatting>
  <conditionalFormatting sqref="H2:H1000">
    <cfRule type="cellIs" priority="4" operator="equal" dxfId="3">
      <formula>"Finalizada"</formula>
    </cfRule>
  </conditionalFormatting>
  <dataValidations count="2">
    <dataValidation sqref="D2:D1000" showDropDown="1" showInputMessage="0" showErrorMessage="0" allowBlank="0" type="list">
      <formula1>"Baixa,Média,Alta"</formula1>
    </dataValidation>
    <dataValidation sqref="H2:H1000" showDropDown="1" showInputMessage="0" showErrorMessage="0" allowBlank="0" type="list">
      <formula1>"Pendente,Em Andamento,Finalizada"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25" customWidth="1" min="10" max="10"/>
  </cols>
  <sheetData>
    <row r="1">
      <c r="A1" s="14" t="inlineStr">
        <is>
          <t>ID</t>
        </is>
      </c>
      <c r="B1" s="14" t="inlineStr">
        <is>
          <t>Cliente</t>
        </is>
      </c>
      <c r="C1" s="14" t="inlineStr">
        <is>
          <t>Tipo de Ação</t>
        </is>
      </c>
      <c r="D1" s="14" t="inlineStr">
        <is>
          <t>Complexidade</t>
        </is>
      </c>
      <c r="E1" s="14" t="inlineStr">
        <is>
          <t>Data Envio Doc</t>
        </is>
      </c>
      <c r="F1" s="14" t="inlineStr">
        <is>
          <t>Prazo (Dias)</t>
        </is>
      </c>
      <c r="G1" s="14" t="inlineStr">
        <is>
          <t>Prazo Fatal</t>
        </is>
      </c>
      <c r="H1" s="14" t="inlineStr">
        <is>
          <t>Status</t>
        </is>
      </c>
      <c r="I1" s="14" t="inlineStr">
        <is>
          <t>Data Protocolo</t>
        </is>
      </c>
      <c r="J1" s="14" t="inlineStr">
        <is>
          <t>Advogado Responsável</t>
        </is>
      </c>
    </row>
    <row r="2">
      <c r="A2" s="15" t="n"/>
      <c r="B2" s="16" t="n"/>
      <c r="C2" s="16" t="n"/>
      <c r="D2" s="15" t="n"/>
      <c r="E2" s="15" t="n"/>
      <c r="F2" s="15">
        <f>IFERROR(VLOOKUP(D2, Config!A:B, 2, FALSE), "")</f>
        <v/>
      </c>
      <c r="G2" s="15">
        <f>IF(E2="", "", WORKDAY(E2, F2))</f>
        <v/>
      </c>
      <c r="H2" s="15" t="n"/>
      <c r="I2" s="15" t="n"/>
      <c r="J2" s="16" t="n"/>
    </row>
    <row r="3">
      <c r="A3" s="15" t="n"/>
      <c r="B3" s="16" t="n"/>
      <c r="C3" s="16" t="n"/>
      <c r="D3" s="15" t="n"/>
      <c r="E3" s="15" t="n"/>
      <c r="F3" s="15">
        <f>IFERROR(VLOOKUP(D3, Config!A:B, 2, FALSE), "")</f>
        <v/>
      </c>
      <c r="G3" s="15">
        <f>IF(E3="", "", WORKDAY(E3, F3))</f>
        <v/>
      </c>
      <c r="H3" s="15" t="n"/>
      <c r="I3" s="15" t="n"/>
      <c r="J3" s="16" t="n"/>
    </row>
    <row r="4">
      <c r="A4" s="15" t="n"/>
      <c r="B4" s="16" t="n"/>
      <c r="C4" s="16" t="n"/>
      <c r="D4" s="15" t="n"/>
      <c r="E4" s="15" t="n"/>
      <c r="F4" s="15">
        <f>IFERROR(VLOOKUP(D4, Config!A:B, 2, FALSE), "")</f>
        <v/>
      </c>
      <c r="G4" s="15">
        <f>IF(E4="", "", WORKDAY(E4, F4))</f>
        <v/>
      </c>
      <c r="H4" s="15" t="n"/>
      <c r="I4" s="15" t="n"/>
      <c r="J4" s="16" t="n"/>
    </row>
    <row r="5">
      <c r="A5" s="15" t="n"/>
      <c r="B5" s="16" t="n"/>
      <c r="C5" s="16" t="n"/>
      <c r="D5" s="15" t="n"/>
      <c r="E5" s="15" t="n"/>
      <c r="F5" s="15">
        <f>IFERROR(VLOOKUP(D5, Config!A:B, 2, FALSE), "")</f>
        <v/>
      </c>
      <c r="G5" s="15">
        <f>IF(E5="", "", WORKDAY(E5, F5))</f>
        <v/>
      </c>
      <c r="H5" s="15" t="n"/>
      <c r="I5" s="15" t="n"/>
      <c r="J5" s="16" t="n"/>
    </row>
    <row r="6">
      <c r="A6" s="15" t="n"/>
      <c r="B6" s="16" t="n"/>
      <c r="C6" s="16" t="n"/>
      <c r="D6" s="15" t="n"/>
      <c r="E6" s="15" t="n"/>
      <c r="F6" s="15">
        <f>IFERROR(VLOOKUP(D6, Config!A:B, 2, FALSE), "")</f>
        <v/>
      </c>
      <c r="G6" s="15">
        <f>IF(E6="", "", WORKDAY(E6, F6))</f>
        <v/>
      </c>
      <c r="H6" s="15" t="n"/>
      <c r="I6" s="15" t="n"/>
      <c r="J6" s="16" t="n"/>
    </row>
    <row r="7">
      <c r="A7" s="15" t="n"/>
      <c r="B7" s="16" t="n"/>
      <c r="C7" s="16" t="n"/>
      <c r="D7" s="15" t="n"/>
      <c r="E7" s="15" t="n"/>
      <c r="F7" s="15">
        <f>IFERROR(VLOOKUP(D7, Config!A:B, 2, FALSE), "")</f>
        <v/>
      </c>
      <c r="G7" s="15">
        <f>IF(E7="", "", WORKDAY(E7, F7))</f>
        <v/>
      </c>
      <c r="H7" s="15" t="n"/>
      <c r="I7" s="15" t="n"/>
      <c r="J7" s="16" t="n"/>
    </row>
    <row r="8">
      <c r="A8" s="15" t="n"/>
      <c r="B8" s="16" t="n"/>
      <c r="C8" s="16" t="n"/>
      <c r="D8" s="15" t="n"/>
      <c r="E8" s="15" t="n"/>
      <c r="F8" s="15">
        <f>IFERROR(VLOOKUP(D8, Config!A:B, 2, FALSE), "")</f>
        <v/>
      </c>
      <c r="G8" s="15">
        <f>IF(E8="", "", WORKDAY(E8, F8))</f>
        <v/>
      </c>
      <c r="H8" s="15" t="n"/>
      <c r="I8" s="15" t="n"/>
      <c r="J8" s="16" t="n"/>
    </row>
    <row r="9">
      <c r="A9" s="15" t="n"/>
      <c r="B9" s="16" t="n"/>
      <c r="C9" s="16" t="n"/>
      <c r="D9" s="15" t="n"/>
      <c r="E9" s="15" t="n"/>
      <c r="F9" s="15">
        <f>IFERROR(VLOOKUP(D9, Config!A:B, 2, FALSE), "")</f>
        <v/>
      </c>
      <c r="G9" s="15">
        <f>IF(E9="", "", WORKDAY(E9, F9))</f>
        <v/>
      </c>
      <c r="H9" s="15" t="n"/>
      <c r="I9" s="15" t="n"/>
      <c r="J9" s="16" t="n"/>
    </row>
    <row r="10">
      <c r="A10" s="15" t="n"/>
      <c r="B10" s="16" t="n"/>
      <c r="C10" s="16" t="n"/>
      <c r="D10" s="15" t="n"/>
      <c r="E10" s="15" t="n"/>
      <c r="F10" s="15">
        <f>IFERROR(VLOOKUP(D10, Config!A:B, 2, FALSE), "")</f>
        <v/>
      </c>
      <c r="G10" s="15">
        <f>IF(E10="", "", WORKDAY(E10, F10))</f>
        <v/>
      </c>
      <c r="H10" s="15" t="n"/>
      <c r="I10" s="15" t="n"/>
      <c r="J10" s="16" t="n"/>
    </row>
    <row r="11">
      <c r="A11" s="15" t="n"/>
      <c r="B11" s="16" t="n"/>
      <c r="C11" s="16" t="n"/>
      <c r="D11" s="15" t="n"/>
      <c r="E11" s="15" t="n"/>
      <c r="F11" s="15">
        <f>IFERROR(VLOOKUP(D11, Config!A:B, 2, FALSE), "")</f>
        <v/>
      </c>
      <c r="G11" s="15">
        <f>IF(E11="", "", WORKDAY(E11, F11))</f>
        <v/>
      </c>
      <c r="H11" s="15" t="n"/>
      <c r="I11" s="15" t="n"/>
      <c r="J11" s="16" t="n"/>
    </row>
    <row r="12">
      <c r="A12" s="15" t="n"/>
      <c r="B12" s="16" t="n"/>
      <c r="C12" s="16" t="n"/>
      <c r="D12" s="15" t="n"/>
      <c r="E12" s="15" t="n"/>
      <c r="F12" s="15">
        <f>IFERROR(VLOOKUP(D12, Config!A:B, 2, FALSE), "")</f>
        <v/>
      </c>
      <c r="G12" s="15">
        <f>IF(E12="", "", WORKDAY(E12, F12))</f>
        <v/>
      </c>
      <c r="H12" s="15" t="n"/>
      <c r="I12" s="15" t="n"/>
      <c r="J12" s="16" t="n"/>
    </row>
    <row r="13">
      <c r="A13" s="15" t="n"/>
      <c r="B13" s="16" t="n"/>
      <c r="C13" s="16" t="n"/>
      <c r="D13" s="15" t="n"/>
      <c r="E13" s="15" t="n"/>
      <c r="F13" s="15">
        <f>IFERROR(VLOOKUP(D13, Config!A:B, 2, FALSE), "")</f>
        <v/>
      </c>
      <c r="G13" s="15">
        <f>IF(E13="", "", WORKDAY(E13, F13))</f>
        <v/>
      </c>
      <c r="H13" s="15" t="n"/>
      <c r="I13" s="15" t="n"/>
      <c r="J13" s="16" t="n"/>
    </row>
    <row r="14">
      <c r="A14" s="15" t="n"/>
      <c r="B14" s="16" t="n"/>
      <c r="C14" s="16" t="n"/>
      <c r="D14" s="15" t="n"/>
      <c r="E14" s="15" t="n"/>
      <c r="F14" s="15">
        <f>IFERROR(VLOOKUP(D14, Config!A:B, 2, FALSE), "")</f>
        <v/>
      </c>
      <c r="G14" s="15">
        <f>IF(E14="", "", WORKDAY(E14, F14))</f>
        <v/>
      </c>
      <c r="H14" s="15" t="n"/>
      <c r="I14" s="15" t="n"/>
      <c r="J14" s="16" t="n"/>
    </row>
    <row r="15">
      <c r="A15" s="15" t="n"/>
      <c r="B15" s="16" t="n"/>
      <c r="C15" s="16" t="n"/>
      <c r="D15" s="15" t="n"/>
      <c r="E15" s="15" t="n"/>
      <c r="F15" s="15">
        <f>IFERROR(VLOOKUP(D15, Config!A:B, 2, FALSE), "")</f>
        <v/>
      </c>
      <c r="G15" s="15">
        <f>IF(E15="", "", WORKDAY(E15, F15))</f>
        <v/>
      </c>
      <c r="H15" s="15" t="n"/>
      <c r="I15" s="15" t="n"/>
      <c r="J15" s="16" t="n"/>
    </row>
    <row r="16">
      <c r="A16" s="15" t="n"/>
      <c r="B16" s="16" t="n"/>
      <c r="C16" s="16" t="n"/>
      <c r="D16" s="15" t="n"/>
      <c r="E16" s="15" t="n"/>
      <c r="F16" s="15">
        <f>IFERROR(VLOOKUP(D16, Config!A:B, 2, FALSE), "")</f>
        <v/>
      </c>
      <c r="G16" s="15">
        <f>IF(E16="", "", WORKDAY(E16, F16))</f>
        <v/>
      </c>
      <c r="H16" s="15" t="n"/>
      <c r="I16" s="15" t="n"/>
      <c r="J16" s="16" t="n"/>
    </row>
    <row r="17">
      <c r="A17" s="15" t="n"/>
      <c r="B17" s="16" t="n"/>
      <c r="C17" s="16" t="n"/>
      <c r="D17" s="15" t="n"/>
      <c r="E17" s="15" t="n"/>
      <c r="F17" s="15">
        <f>IFERROR(VLOOKUP(D17, Config!A:B, 2, FALSE), "")</f>
        <v/>
      </c>
      <c r="G17" s="15">
        <f>IF(E17="", "", WORKDAY(E17, F17))</f>
        <v/>
      </c>
      <c r="H17" s="15" t="n"/>
      <c r="I17" s="15" t="n"/>
      <c r="J17" s="16" t="n"/>
    </row>
    <row r="18">
      <c r="A18" s="15" t="n"/>
      <c r="B18" s="16" t="n"/>
      <c r="C18" s="16" t="n"/>
      <c r="D18" s="15" t="n"/>
      <c r="E18" s="15" t="n"/>
      <c r="F18" s="15">
        <f>IFERROR(VLOOKUP(D18, Config!A:B, 2, FALSE), "")</f>
        <v/>
      </c>
      <c r="G18" s="15">
        <f>IF(E18="", "", WORKDAY(E18, F18))</f>
        <v/>
      </c>
      <c r="H18" s="15" t="n"/>
      <c r="I18" s="15" t="n"/>
      <c r="J18" s="16" t="n"/>
    </row>
    <row r="19">
      <c r="A19" s="15" t="n"/>
      <c r="B19" s="16" t="n"/>
      <c r="C19" s="16" t="n"/>
      <c r="D19" s="15" t="n"/>
      <c r="E19" s="15" t="n"/>
      <c r="F19" s="15">
        <f>IFERROR(VLOOKUP(D19, Config!A:B, 2, FALSE), "")</f>
        <v/>
      </c>
      <c r="G19" s="15">
        <f>IF(E19="", "", WORKDAY(E19, F19))</f>
        <v/>
      </c>
      <c r="H19" s="15" t="n"/>
      <c r="I19" s="15" t="n"/>
      <c r="J19" s="16" t="n"/>
    </row>
    <row r="20">
      <c r="A20" s="15" t="n"/>
      <c r="B20" s="16" t="n"/>
      <c r="C20" s="16" t="n"/>
      <c r="D20" s="15" t="n"/>
      <c r="E20" s="15" t="n"/>
      <c r="F20" s="15">
        <f>IFERROR(VLOOKUP(D20, Config!A:B, 2, FALSE), "")</f>
        <v/>
      </c>
      <c r="G20" s="15">
        <f>IF(E20="", "", WORKDAY(E20, F20))</f>
        <v/>
      </c>
      <c r="H20" s="15" t="n"/>
      <c r="I20" s="15" t="n"/>
      <c r="J20" s="16" t="n"/>
    </row>
    <row r="21">
      <c r="A21" s="15" t="n"/>
      <c r="B21" s="16" t="n"/>
      <c r="C21" s="16" t="n"/>
      <c r="D21" s="15" t="n"/>
      <c r="E21" s="15" t="n"/>
      <c r="F21" s="15">
        <f>IFERROR(VLOOKUP(D21, Config!A:B, 2, FALSE), "")</f>
        <v/>
      </c>
      <c r="G21" s="15">
        <f>IF(E21="", "", WORKDAY(E21, F21))</f>
        <v/>
      </c>
      <c r="H21" s="15" t="n"/>
      <c r="I21" s="15" t="n"/>
      <c r="J21" s="16" t="n"/>
    </row>
    <row r="22">
      <c r="A22" s="15" t="n"/>
      <c r="B22" s="16" t="n"/>
      <c r="C22" s="16" t="n"/>
      <c r="D22" s="15" t="n"/>
      <c r="E22" s="15" t="n"/>
      <c r="F22" s="15">
        <f>IFERROR(VLOOKUP(D22, Config!A:B, 2, FALSE), "")</f>
        <v/>
      </c>
      <c r="G22" s="15">
        <f>IF(E22="", "", WORKDAY(E22, F22))</f>
        <v/>
      </c>
      <c r="H22" s="15" t="n"/>
      <c r="I22" s="15" t="n"/>
      <c r="J22" s="16" t="n"/>
    </row>
    <row r="23">
      <c r="A23" s="15" t="n"/>
      <c r="B23" s="16" t="n"/>
      <c r="C23" s="16" t="n"/>
      <c r="D23" s="15" t="n"/>
      <c r="E23" s="15" t="n"/>
      <c r="F23" s="15">
        <f>IFERROR(VLOOKUP(D23, Config!A:B, 2, FALSE), "")</f>
        <v/>
      </c>
      <c r="G23" s="15">
        <f>IF(E23="", "", WORKDAY(E23, F23))</f>
        <v/>
      </c>
      <c r="H23" s="15" t="n"/>
      <c r="I23" s="15" t="n"/>
      <c r="J23" s="16" t="n"/>
    </row>
    <row r="24">
      <c r="A24" s="15" t="n"/>
      <c r="B24" s="16" t="n"/>
      <c r="C24" s="16" t="n"/>
      <c r="D24" s="15" t="n"/>
      <c r="E24" s="15" t="n"/>
      <c r="F24" s="15">
        <f>IFERROR(VLOOKUP(D24, Config!A:B, 2, FALSE), "")</f>
        <v/>
      </c>
      <c r="G24" s="15">
        <f>IF(E24="", "", WORKDAY(E24, F24))</f>
        <v/>
      </c>
      <c r="H24" s="15" t="n"/>
      <c r="I24" s="15" t="n"/>
      <c r="J24" s="16" t="n"/>
    </row>
    <row r="25">
      <c r="A25" s="15" t="n"/>
      <c r="B25" s="16" t="n"/>
      <c r="C25" s="16" t="n"/>
      <c r="D25" s="15" t="n"/>
      <c r="E25" s="15" t="n"/>
      <c r="F25" s="15">
        <f>IFERROR(VLOOKUP(D25, Config!A:B, 2, FALSE), "")</f>
        <v/>
      </c>
      <c r="G25" s="15">
        <f>IF(E25="", "", WORKDAY(E25, F25))</f>
        <v/>
      </c>
      <c r="H25" s="15" t="n"/>
      <c r="I25" s="15" t="n"/>
      <c r="J25" s="16" t="n"/>
    </row>
    <row r="26">
      <c r="A26" s="15" t="n"/>
      <c r="B26" s="16" t="n"/>
      <c r="C26" s="16" t="n"/>
      <c r="D26" s="15" t="n"/>
      <c r="E26" s="15" t="n"/>
      <c r="F26" s="15">
        <f>IFERROR(VLOOKUP(D26, Config!A:B, 2, FALSE), "")</f>
        <v/>
      </c>
      <c r="G26" s="15">
        <f>IF(E26="", "", WORKDAY(E26, F26))</f>
        <v/>
      </c>
      <c r="H26" s="15" t="n"/>
      <c r="I26" s="15" t="n"/>
      <c r="J26" s="16" t="n"/>
    </row>
    <row r="27">
      <c r="A27" s="15" t="n"/>
      <c r="B27" s="16" t="n"/>
      <c r="C27" s="16" t="n"/>
      <c r="D27" s="15" t="n"/>
      <c r="E27" s="15" t="n"/>
      <c r="F27" s="15">
        <f>IFERROR(VLOOKUP(D27, Config!A:B, 2, FALSE), "")</f>
        <v/>
      </c>
      <c r="G27" s="15">
        <f>IF(E27="", "", WORKDAY(E27, F27))</f>
        <v/>
      </c>
      <c r="H27" s="15" t="n"/>
      <c r="I27" s="15" t="n"/>
      <c r="J27" s="16" t="n"/>
    </row>
    <row r="28">
      <c r="A28" s="15" t="n"/>
      <c r="B28" s="16" t="n"/>
      <c r="C28" s="16" t="n"/>
      <c r="D28" s="15" t="n"/>
      <c r="E28" s="15" t="n"/>
      <c r="F28" s="15">
        <f>IFERROR(VLOOKUP(D28, Config!A:B, 2, FALSE), "")</f>
        <v/>
      </c>
      <c r="G28" s="15">
        <f>IF(E28="", "", WORKDAY(E28, F28))</f>
        <v/>
      </c>
      <c r="H28" s="15" t="n"/>
      <c r="I28" s="15" t="n"/>
      <c r="J28" s="16" t="n"/>
    </row>
    <row r="29">
      <c r="A29" s="15" t="n"/>
      <c r="B29" s="16" t="n"/>
      <c r="C29" s="16" t="n"/>
      <c r="D29" s="15" t="n"/>
      <c r="E29" s="15" t="n"/>
      <c r="F29" s="15">
        <f>IFERROR(VLOOKUP(D29, Config!A:B, 2, FALSE), "")</f>
        <v/>
      </c>
      <c r="G29" s="15">
        <f>IF(E29="", "", WORKDAY(E29, F29))</f>
        <v/>
      </c>
      <c r="H29" s="15" t="n"/>
      <c r="I29" s="15" t="n"/>
      <c r="J29" s="16" t="n"/>
    </row>
    <row r="30">
      <c r="A30" s="15" t="n"/>
      <c r="B30" s="16" t="n"/>
      <c r="C30" s="16" t="n"/>
      <c r="D30" s="15" t="n"/>
      <c r="E30" s="15" t="n"/>
      <c r="F30" s="15">
        <f>IFERROR(VLOOKUP(D30, Config!A:B, 2, FALSE), "")</f>
        <v/>
      </c>
      <c r="G30" s="15">
        <f>IF(E30="", "", WORKDAY(E30, F30))</f>
        <v/>
      </c>
      <c r="H30" s="15" t="n"/>
      <c r="I30" s="15" t="n"/>
      <c r="J30" s="16" t="n"/>
    </row>
    <row r="31">
      <c r="A31" s="15" t="n"/>
      <c r="B31" s="16" t="n"/>
      <c r="C31" s="16" t="n"/>
      <c r="D31" s="15" t="n"/>
      <c r="E31" s="15" t="n"/>
      <c r="F31" s="15">
        <f>IFERROR(VLOOKUP(D31, Config!A:B, 2, FALSE), "")</f>
        <v/>
      </c>
      <c r="G31" s="15">
        <f>IF(E31="", "", WORKDAY(E31, F31))</f>
        <v/>
      </c>
      <c r="H31" s="15" t="n"/>
      <c r="I31" s="15" t="n"/>
      <c r="J31" s="16" t="n"/>
    </row>
    <row r="32">
      <c r="A32" s="15" t="n"/>
      <c r="B32" s="16" t="n"/>
      <c r="C32" s="16" t="n"/>
      <c r="D32" s="15" t="n"/>
      <c r="E32" s="15" t="n"/>
      <c r="F32" s="15">
        <f>IFERROR(VLOOKUP(D32, Config!A:B, 2, FALSE), "")</f>
        <v/>
      </c>
      <c r="G32" s="15">
        <f>IF(E32="", "", WORKDAY(E32, F32))</f>
        <v/>
      </c>
      <c r="H32" s="15" t="n"/>
      <c r="I32" s="15" t="n"/>
      <c r="J32" s="16" t="n"/>
    </row>
    <row r="33">
      <c r="A33" s="15" t="n"/>
      <c r="B33" s="16" t="n"/>
      <c r="C33" s="16" t="n"/>
      <c r="D33" s="15" t="n"/>
      <c r="E33" s="15" t="n"/>
      <c r="F33" s="15">
        <f>IFERROR(VLOOKUP(D33, Config!A:B, 2, FALSE), "")</f>
        <v/>
      </c>
      <c r="G33" s="15">
        <f>IF(E33="", "", WORKDAY(E33, F33))</f>
        <v/>
      </c>
      <c r="H33" s="15" t="n"/>
      <c r="I33" s="15" t="n"/>
      <c r="J33" s="16" t="n"/>
    </row>
    <row r="34">
      <c r="A34" s="15" t="n"/>
      <c r="B34" s="16" t="n"/>
      <c r="C34" s="16" t="n"/>
      <c r="D34" s="15" t="n"/>
      <c r="E34" s="15" t="n"/>
      <c r="F34" s="15">
        <f>IFERROR(VLOOKUP(D34, Config!A:B, 2, FALSE), "")</f>
        <v/>
      </c>
      <c r="G34" s="15">
        <f>IF(E34="", "", WORKDAY(E34, F34))</f>
        <v/>
      </c>
      <c r="H34" s="15" t="n"/>
      <c r="I34" s="15" t="n"/>
      <c r="J34" s="16" t="n"/>
    </row>
    <row r="35">
      <c r="A35" s="15" t="n"/>
      <c r="B35" s="16" t="n"/>
      <c r="C35" s="16" t="n"/>
      <c r="D35" s="15" t="n"/>
      <c r="E35" s="15" t="n"/>
      <c r="F35" s="15">
        <f>IFERROR(VLOOKUP(D35, Config!A:B, 2, FALSE), "")</f>
        <v/>
      </c>
      <c r="G35" s="15">
        <f>IF(E35="", "", WORKDAY(E35, F35))</f>
        <v/>
      </c>
      <c r="H35" s="15" t="n"/>
      <c r="I35" s="15" t="n"/>
      <c r="J35" s="16" t="n"/>
    </row>
    <row r="36">
      <c r="A36" s="15" t="n"/>
      <c r="B36" s="16" t="n"/>
      <c r="C36" s="16" t="n"/>
      <c r="D36" s="15" t="n"/>
      <c r="E36" s="15" t="n"/>
      <c r="F36" s="15">
        <f>IFERROR(VLOOKUP(D36, Config!A:B, 2, FALSE), "")</f>
        <v/>
      </c>
      <c r="G36" s="15">
        <f>IF(E36="", "", WORKDAY(E36, F36))</f>
        <v/>
      </c>
      <c r="H36" s="15" t="n"/>
      <c r="I36" s="15" t="n"/>
      <c r="J36" s="16" t="n"/>
    </row>
    <row r="37">
      <c r="A37" s="15" t="n"/>
      <c r="B37" s="16" t="n"/>
      <c r="C37" s="16" t="n"/>
      <c r="D37" s="15" t="n"/>
      <c r="E37" s="15" t="n"/>
      <c r="F37" s="15">
        <f>IFERROR(VLOOKUP(D37, Config!A:B, 2, FALSE), "")</f>
        <v/>
      </c>
      <c r="G37" s="15">
        <f>IF(E37="", "", WORKDAY(E37, F37))</f>
        <v/>
      </c>
      <c r="H37" s="15" t="n"/>
      <c r="I37" s="15" t="n"/>
      <c r="J37" s="16" t="n"/>
    </row>
    <row r="38">
      <c r="A38" s="15" t="n"/>
      <c r="B38" s="16" t="n"/>
      <c r="C38" s="16" t="n"/>
      <c r="D38" s="15" t="n"/>
      <c r="E38" s="15" t="n"/>
      <c r="F38" s="15">
        <f>IFERROR(VLOOKUP(D38, Config!A:B, 2, FALSE), "")</f>
        <v/>
      </c>
      <c r="G38" s="15">
        <f>IF(E38="", "", WORKDAY(E38, F38))</f>
        <v/>
      </c>
      <c r="H38" s="15" t="n"/>
      <c r="I38" s="15" t="n"/>
      <c r="J38" s="16" t="n"/>
    </row>
    <row r="39">
      <c r="A39" s="15" t="n"/>
      <c r="B39" s="16" t="n"/>
      <c r="C39" s="16" t="n"/>
      <c r="D39" s="15" t="n"/>
      <c r="E39" s="15" t="n"/>
      <c r="F39" s="15">
        <f>IFERROR(VLOOKUP(D39, Config!A:B, 2, FALSE), "")</f>
        <v/>
      </c>
      <c r="G39" s="15">
        <f>IF(E39="", "", WORKDAY(E39, F39))</f>
        <v/>
      </c>
      <c r="H39" s="15" t="n"/>
      <c r="I39" s="15" t="n"/>
      <c r="J39" s="16" t="n"/>
    </row>
    <row r="40">
      <c r="A40" s="15" t="n"/>
      <c r="B40" s="16" t="n"/>
      <c r="C40" s="16" t="n"/>
      <c r="D40" s="15" t="n"/>
      <c r="E40" s="15" t="n"/>
      <c r="F40" s="15">
        <f>IFERROR(VLOOKUP(D40, Config!A:B, 2, FALSE), "")</f>
        <v/>
      </c>
      <c r="G40" s="15">
        <f>IF(E40="", "", WORKDAY(E40, F40))</f>
        <v/>
      </c>
      <c r="H40" s="15" t="n"/>
      <c r="I40" s="15" t="n"/>
      <c r="J40" s="16" t="n"/>
    </row>
    <row r="41">
      <c r="A41" s="15" t="n"/>
      <c r="B41" s="16" t="n"/>
      <c r="C41" s="16" t="n"/>
      <c r="D41" s="15" t="n"/>
      <c r="E41" s="15" t="n"/>
      <c r="F41" s="15">
        <f>IFERROR(VLOOKUP(D41, Config!A:B, 2, FALSE), "")</f>
        <v/>
      </c>
      <c r="G41" s="15">
        <f>IF(E41="", "", WORKDAY(E41, F41))</f>
        <v/>
      </c>
      <c r="H41" s="15" t="n"/>
      <c r="I41" s="15" t="n"/>
      <c r="J41" s="16" t="n"/>
    </row>
    <row r="42">
      <c r="A42" s="15" t="n"/>
      <c r="B42" s="16" t="n"/>
      <c r="C42" s="16" t="n"/>
      <c r="D42" s="15" t="n"/>
      <c r="E42" s="15" t="n"/>
      <c r="F42" s="15">
        <f>IFERROR(VLOOKUP(D42, Config!A:B, 2, FALSE), "")</f>
        <v/>
      </c>
      <c r="G42" s="15">
        <f>IF(E42="", "", WORKDAY(E42, F42))</f>
        <v/>
      </c>
      <c r="H42" s="15" t="n"/>
      <c r="I42" s="15" t="n"/>
      <c r="J42" s="16" t="n"/>
    </row>
    <row r="43">
      <c r="A43" s="15" t="n"/>
      <c r="B43" s="16" t="n"/>
      <c r="C43" s="16" t="n"/>
      <c r="D43" s="15" t="n"/>
      <c r="E43" s="15" t="n"/>
      <c r="F43" s="15">
        <f>IFERROR(VLOOKUP(D43, Config!A:B, 2, FALSE), "")</f>
        <v/>
      </c>
      <c r="G43" s="15">
        <f>IF(E43="", "", WORKDAY(E43, F43))</f>
        <v/>
      </c>
      <c r="H43" s="15" t="n"/>
      <c r="I43" s="15" t="n"/>
      <c r="J43" s="16" t="n"/>
    </row>
    <row r="44">
      <c r="A44" s="15" t="n"/>
      <c r="B44" s="16" t="n"/>
      <c r="C44" s="16" t="n"/>
      <c r="D44" s="15" t="n"/>
      <c r="E44" s="15" t="n"/>
      <c r="F44" s="15">
        <f>IFERROR(VLOOKUP(D44, Config!A:B, 2, FALSE), "")</f>
        <v/>
      </c>
      <c r="G44" s="15">
        <f>IF(E44="", "", WORKDAY(E44, F44))</f>
        <v/>
      </c>
      <c r="H44" s="15" t="n"/>
      <c r="I44" s="15" t="n"/>
      <c r="J44" s="16" t="n"/>
    </row>
    <row r="45">
      <c r="A45" s="15" t="n"/>
      <c r="B45" s="16" t="n"/>
      <c r="C45" s="16" t="n"/>
      <c r="D45" s="15" t="n"/>
      <c r="E45" s="15" t="n"/>
      <c r="F45" s="15">
        <f>IFERROR(VLOOKUP(D45, Config!A:B, 2, FALSE), "")</f>
        <v/>
      </c>
      <c r="G45" s="15">
        <f>IF(E45="", "", WORKDAY(E45, F45))</f>
        <v/>
      </c>
      <c r="H45" s="15" t="n"/>
      <c r="I45" s="15" t="n"/>
      <c r="J45" s="16" t="n"/>
    </row>
    <row r="46">
      <c r="A46" s="15" t="n"/>
      <c r="B46" s="16" t="n"/>
      <c r="C46" s="16" t="n"/>
      <c r="D46" s="15" t="n"/>
      <c r="E46" s="15" t="n"/>
      <c r="F46" s="15">
        <f>IFERROR(VLOOKUP(D46, Config!A:B, 2, FALSE), "")</f>
        <v/>
      </c>
      <c r="G46" s="15">
        <f>IF(E46="", "", WORKDAY(E46, F46))</f>
        <v/>
      </c>
      <c r="H46" s="15" t="n"/>
      <c r="I46" s="15" t="n"/>
      <c r="J46" s="16" t="n"/>
    </row>
    <row r="47">
      <c r="A47" s="15" t="n"/>
      <c r="B47" s="16" t="n"/>
      <c r="C47" s="16" t="n"/>
      <c r="D47" s="15" t="n"/>
      <c r="E47" s="15" t="n"/>
      <c r="F47" s="15">
        <f>IFERROR(VLOOKUP(D47, Config!A:B, 2, FALSE), "")</f>
        <v/>
      </c>
      <c r="G47" s="15">
        <f>IF(E47="", "", WORKDAY(E47, F47))</f>
        <v/>
      </c>
      <c r="H47" s="15" t="n"/>
      <c r="I47" s="15" t="n"/>
      <c r="J47" s="16" t="n"/>
    </row>
    <row r="48">
      <c r="A48" s="15" t="n"/>
      <c r="B48" s="16" t="n"/>
      <c r="C48" s="16" t="n"/>
      <c r="D48" s="15" t="n"/>
      <c r="E48" s="15" t="n"/>
      <c r="F48" s="15">
        <f>IFERROR(VLOOKUP(D48, Config!A:B, 2, FALSE), "")</f>
        <v/>
      </c>
      <c r="G48" s="15">
        <f>IF(E48="", "", WORKDAY(E48, F48))</f>
        <v/>
      </c>
      <c r="H48" s="15" t="n"/>
      <c r="I48" s="15" t="n"/>
      <c r="J48" s="16" t="n"/>
    </row>
    <row r="49">
      <c r="A49" s="15" t="n"/>
      <c r="B49" s="16" t="n"/>
      <c r="C49" s="16" t="n"/>
      <c r="D49" s="15" t="n"/>
      <c r="E49" s="15" t="n"/>
      <c r="F49" s="15">
        <f>IFERROR(VLOOKUP(D49, Config!A:B, 2, FALSE), "")</f>
        <v/>
      </c>
      <c r="G49" s="15">
        <f>IF(E49="", "", WORKDAY(E49, F49))</f>
        <v/>
      </c>
      <c r="H49" s="15" t="n"/>
      <c r="I49" s="15" t="n"/>
      <c r="J49" s="16" t="n"/>
    </row>
    <row r="50">
      <c r="A50" s="15" t="n"/>
      <c r="B50" s="16" t="n"/>
      <c r="C50" s="16" t="n"/>
      <c r="D50" s="15" t="n"/>
      <c r="E50" s="15" t="n"/>
      <c r="F50" s="15">
        <f>IFERROR(VLOOKUP(D50, Config!A:B, 2, FALSE), "")</f>
        <v/>
      </c>
      <c r="G50" s="15">
        <f>IF(E50="", "", WORKDAY(E50, F50))</f>
        <v/>
      </c>
      <c r="H50" s="15" t="n"/>
      <c r="I50" s="15" t="n"/>
      <c r="J50" s="16" t="n"/>
    </row>
    <row r="51">
      <c r="A51" s="15" t="n"/>
      <c r="B51" s="16" t="n"/>
      <c r="C51" s="16" t="n"/>
      <c r="D51" s="15" t="n"/>
      <c r="E51" s="15" t="n"/>
      <c r="F51" s="15">
        <f>IFERROR(VLOOKUP(D51, Config!A:B, 2, FALSE), "")</f>
        <v/>
      </c>
      <c r="G51" s="15">
        <f>IF(E51="", "", WORKDAY(E51, F51))</f>
        <v/>
      </c>
      <c r="H51" s="15" t="n"/>
      <c r="I51" s="15" t="n"/>
      <c r="J51" s="16" t="n"/>
    </row>
    <row r="52">
      <c r="A52" s="15" t="n"/>
      <c r="B52" s="16" t="n"/>
      <c r="C52" s="16" t="n"/>
      <c r="D52" s="15" t="n"/>
      <c r="E52" s="15" t="n"/>
      <c r="F52" s="15">
        <f>IFERROR(VLOOKUP(D52, Config!A:B, 2, FALSE), "")</f>
        <v/>
      </c>
      <c r="G52" s="15">
        <f>IF(E52="", "", WORKDAY(E52, F52))</f>
        <v/>
      </c>
      <c r="H52" s="15" t="n"/>
      <c r="I52" s="15" t="n"/>
      <c r="J52" s="16" t="n"/>
    </row>
    <row r="53">
      <c r="A53" s="15" t="n"/>
      <c r="B53" s="16" t="n"/>
      <c r="C53" s="16" t="n"/>
      <c r="D53" s="15" t="n"/>
      <c r="E53" s="15" t="n"/>
      <c r="F53" s="15">
        <f>IFERROR(VLOOKUP(D53, Config!A:B, 2, FALSE), "")</f>
        <v/>
      </c>
      <c r="G53" s="15">
        <f>IF(E53="", "", WORKDAY(E53, F53))</f>
        <v/>
      </c>
      <c r="H53" s="15" t="n"/>
      <c r="I53" s="15" t="n"/>
      <c r="J53" s="16" t="n"/>
    </row>
    <row r="54">
      <c r="A54" s="15" t="n"/>
      <c r="B54" s="16" t="n"/>
      <c r="C54" s="16" t="n"/>
      <c r="D54" s="15" t="n"/>
      <c r="E54" s="15" t="n"/>
      <c r="F54" s="15">
        <f>IFERROR(VLOOKUP(D54, Config!A:B, 2, FALSE), "")</f>
        <v/>
      </c>
      <c r="G54" s="15">
        <f>IF(E54="", "", WORKDAY(E54, F54))</f>
        <v/>
      </c>
      <c r="H54" s="15" t="n"/>
      <c r="I54" s="15" t="n"/>
      <c r="J54" s="16" t="n"/>
    </row>
    <row r="55">
      <c r="A55" s="15" t="n"/>
      <c r="B55" s="16" t="n"/>
      <c r="C55" s="16" t="n"/>
      <c r="D55" s="15" t="n"/>
      <c r="E55" s="15" t="n"/>
      <c r="F55" s="15">
        <f>IFERROR(VLOOKUP(D55, Config!A:B, 2, FALSE), "")</f>
        <v/>
      </c>
      <c r="G55" s="15">
        <f>IF(E55="", "", WORKDAY(E55, F55))</f>
        <v/>
      </c>
      <c r="H55" s="15" t="n"/>
      <c r="I55" s="15" t="n"/>
      <c r="J55" s="16" t="n"/>
    </row>
    <row r="56">
      <c r="A56" s="15" t="n"/>
      <c r="B56" s="16" t="n"/>
      <c r="C56" s="16" t="n"/>
      <c r="D56" s="15" t="n"/>
      <c r="E56" s="15" t="n"/>
      <c r="F56" s="15">
        <f>IFERROR(VLOOKUP(D56, Config!A:B, 2, FALSE), "")</f>
        <v/>
      </c>
      <c r="G56" s="15">
        <f>IF(E56="", "", WORKDAY(E56, F56))</f>
        <v/>
      </c>
      <c r="H56" s="15" t="n"/>
      <c r="I56" s="15" t="n"/>
      <c r="J56" s="16" t="n"/>
    </row>
    <row r="57">
      <c r="A57" s="15" t="n"/>
      <c r="B57" s="16" t="n"/>
      <c r="C57" s="16" t="n"/>
      <c r="D57" s="15" t="n"/>
      <c r="E57" s="15" t="n"/>
      <c r="F57" s="15">
        <f>IFERROR(VLOOKUP(D57, Config!A:B, 2, FALSE), "")</f>
        <v/>
      </c>
      <c r="G57" s="15">
        <f>IF(E57="", "", WORKDAY(E57, F57))</f>
        <v/>
      </c>
      <c r="H57" s="15" t="n"/>
      <c r="I57" s="15" t="n"/>
      <c r="J57" s="16" t="n"/>
    </row>
    <row r="58">
      <c r="A58" s="15" t="n"/>
      <c r="B58" s="16" t="n"/>
      <c r="C58" s="16" t="n"/>
      <c r="D58" s="15" t="n"/>
      <c r="E58" s="15" t="n"/>
      <c r="F58" s="15">
        <f>IFERROR(VLOOKUP(D58, Config!A:B, 2, FALSE), "")</f>
        <v/>
      </c>
      <c r="G58" s="15">
        <f>IF(E58="", "", WORKDAY(E58, F58))</f>
        <v/>
      </c>
      <c r="H58" s="15" t="n"/>
      <c r="I58" s="15" t="n"/>
      <c r="J58" s="16" t="n"/>
    </row>
    <row r="59">
      <c r="A59" s="15" t="n"/>
      <c r="B59" s="16" t="n"/>
      <c r="C59" s="16" t="n"/>
      <c r="D59" s="15" t="n"/>
      <c r="E59" s="15" t="n"/>
      <c r="F59" s="15">
        <f>IFERROR(VLOOKUP(D59, Config!A:B, 2, FALSE), "")</f>
        <v/>
      </c>
      <c r="G59" s="15">
        <f>IF(E59="", "", WORKDAY(E59, F59))</f>
        <v/>
      </c>
      <c r="H59" s="15" t="n"/>
      <c r="I59" s="15" t="n"/>
      <c r="J59" s="16" t="n"/>
    </row>
    <row r="60">
      <c r="A60" s="15" t="n"/>
      <c r="B60" s="16" t="n"/>
      <c r="C60" s="16" t="n"/>
      <c r="D60" s="15" t="n"/>
      <c r="E60" s="15" t="n"/>
      <c r="F60" s="15">
        <f>IFERROR(VLOOKUP(D60, Config!A:B, 2, FALSE), "")</f>
        <v/>
      </c>
      <c r="G60" s="15">
        <f>IF(E60="", "", WORKDAY(E60, F60))</f>
        <v/>
      </c>
      <c r="H60" s="15" t="n"/>
      <c r="I60" s="15" t="n"/>
      <c r="J60" s="16" t="n"/>
    </row>
    <row r="61">
      <c r="A61" s="15" t="n"/>
      <c r="B61" s="16" t="n"/>
      <c r="C61" s="16" t="n"/>
      <c r="D61" s="15" t="n"/>
      <c r="E61" s="15" t="n"/>
      <c r="F61" s="15">
        <f>IFERROR(VLOOKUP(D61, Config!A:B, 2, FALSE), "")</f>
        <v/>
      </c>
      <c r="G61" s="15">
        <f>IF(E61="", "", WORKDAY(E61, F61))</f>
        <v/>
      </c>
      <c r="H61" s="15" t="n"/>
      <c r="I61" s="15" t="n"/>
      <c r="J61" s="16" t="n"/>
    </row>
    <row r="62">
      <c r="A62" s="15" t="n"/>
      <c r="B62" s="16" t="n"/>
      <c r="C62" s="16" t="n"/>
      <c r="D62" s="15" t="n"/>
      <c r="E62" s="15" t="n"/>
      <c r="F62" s="15">
        <f>IFERROR(VLOOKUP(D62, Config!A:B, 2, FALSE), "")</f>
        <v/>
      </c>
      <c r="G62" s="15">
        <f>IF(E62="", "", WORKDAY(E62, F62))</f>
        <v/>
      </c>
      <c r="H62" s="15" t="n"/>
      <c r="I62" s="15" t="n"/>
      <c r="J62" s="16" t="n"/>
    </row>
    <row r="63">
      <c r="A63" s="15" t="n"/>
      <c r="B63" s="16" t="n"/>
      <c r="C63" s="16" t="n"/>
      <c r="D63" s="15" t="n"/>
      <c r="E63" s="15" t="n"/>
      <c r="F63" s="15">
        <f>IFERROR(VLOOKUP(D63, Config!A:B, 2, FALSE), "")</f>
        <v/>
      </c>
      <c r="G63" s="15">
        <f>IF(E63="", "", WORKDAY(E63, F63))</f>
        <v/>
      </c>
      <c r="H63" s="15" t="n"/>
      <c r="I63" s="15" t="n"/>
      <c r="J63" s="16" t="n"/>
    </row>
    <row r="64">
      <c r="A64" s="15" t="n"/>
      <c r="B64" s="16" t="n"/>
      <c r="C64" s="16" t="n"/>
      <c r="D64" s="15" t="n"/>
      <c r="E64" s="15" t="n"/>
      <c r="F64" s="15">
        <f>IFERROR(VLOOKUP(D64, Config!A:B, 2, FALSE), "")</f>
        <v/>
      </c>
      <c r="G64" s="15">
        <f>IF(E64="", "", WORKDAY(E64, F64))</f>
        <v/>
      </c>
      <c r="H64" s="15" t="n"/>
      <c r="I64" s="15" t="n"/>
      <c r="J64" s="16" t="n"/>
    </row>
    <row r="65">
      <c r="A65" s="15" t="n"/>
      <c r="B65" s="16" t="n"/>
      <c r="C65" s="16" t="n"/>
      <c r="D65" s="15" t="n"/>
      <c r="E65" s="15" t="n"/>
      <c r="F65" s="15">
        <f>IFERROR(VLOOKUP(D65, Config!A:B, 2, FALSE), "")</f>
        <v/>
      </c>
      <c r="G65" s="15">
        <f>IF(E65="", "", WORKDAY(E65, F65))</f>
        <v/>
      </c>
      <c r="H65" s="15" t="n"/>
      <c r="I65" s="15" t="n"/>
      <c r="J65" s="16" t="n"/>
    </row>
    <row r="66">
      <c r="A66" s="15" t="n"/>
      <c r="B66" s="16" t="n"/>
      <c r="C66" s="16" t="n"/>
      <c r="D66" s="15" t="n"/>
      <c r="E66" s="15" t="n"/>
      <c r="F66" s="15">
        <f>IFERROR(VLOOKUP(D66, Config!A:B, 2, FALSE), "")</f>
        <v/>
      </c>
      <c r="G66" s="15">
        <f>IF(E66="", "", WORKDAY(E66, F66))</f>
        <v/>
      </c>
      <c r="H66" s="15" t="n"/>
      <c r="I66" s="15" t="n"/>
      <c r="J66" s="16" t="n"/>
    </row>
    <row r="67">
      <c r="A67" s="15" t="n"/>
      <c r="B67" s="16" t="n"/>
      <c r="C67" s="16" t="n"/>
      <c r="D67" s="15" t="n"/>
      <c r="E67" s="15" t="n"/>
      <c r="F67" s="15">
        <f>IFERROR(VLOOKUP(D67, Config!A:B, 2, FALSE), "")</f>
        <v/>
      </c>
      <c r="G67" s="15">
        <f>IF(E67="", "", WORKDAY(E67, F67))</f>
        <v/>
      </c>
      <c r="H67" s="15" t="n"/>
      <c r="I67" s="15" t="n"/>
      <c r="J67" s="16" t="n"/>
    </row>
    <row r="68">
      <c r="A68" s="15" t="n"/>
      <c r="B68" s="16" t="n"/>
      <c r="C68" s="16" t="n"/>
      <c r="D68" s="15" t="n"/>
      <c r="E68" s="15" t="n"/>
      <c r="F68" s="15">
        <f>IFERROR(VLOOKUP(D68, Config!A:B, 2, FALSE), "")</f>
        <v/>
      </c>
      <c r="G68" s="15">
        <f>IF(E68="", "", WORKDAY(E68, F68))</f>
        <v/>
      </c>
      <c r="H68" s="15" t="n"/>
      <c r="I68" s="15" t="n"/>
      <c r="J68" s="16" t="n"/>
    </row>
    <row r="69">
      <c r="A69" s="15" t="n"/>
      <c r="B69" s="16" t="n"/>
      <c r="C69" s="16" t="n"/>
      <c r="D69" s="15" t="n"/>
      <c r="E69" s="15" t="n"/>
      <c r="F69" s="15">
        <f>IFERROR(VLOOKUP(D69, Config!A:B, 2, FALSE), "")</f>
        <v/>
      </c>
      <c r="G69" s="15">
        <f>IF(E69="", "", WORKDAY(E69, F69))</f>
        <v/>
      </c>
      <c r="H69" s="15" t="n"/>
      <c r="I69" s="15" t="n"/>
      <c r="J69" s="16" t="n"/>
    </row>
    <row r="70">
      <c r="A70" s="15" t="n"/>
      <c r="B70" s="16" t="n"/>
      <c r="C70" s="16" t="n"/>
      <c r="D70" s="15" t="n"/>
      <c r="E70" s="15" t="n"/>
      <c r="F70" s="15">
        <f>IFERROR(VLOOKUP(D70, Config!A:B, 2, FALSE), "")</f>
        <v/>
      </c>
      <c r="G70" s="15">
        <f>IF(E70="", "", WORKDAY(E70, F70))</f>
        <v/>
      </c>
      <c r="H70" s="15" t="n"/>
      <c r="I70" s="15" t="n"/>
      <c r="J70" s="16" t="n"/>
    </row>
    <row r="71">
      <c r="A71" s="15" t="n"/>
      <c r="B71" s="16" t="n"/>
      <c r="C71" s="16" t="n"/>
      <c r="D71" s="15" t="n"/>
      <c r="E71" s="15" t="n"/>
      <c r="F71" s="15">
        <f>IFERROR(VLOOKUP(D71, Config!A:B, 2, FALSE), "")</f>
        <v/>
      </c>
      <c r="G71" s="15">
        <f>IF(E71="", "", WORKDAY(E71, F71))</f>
        <v/>
      </c>
      <c r="H71" s="15" t="n"/>
      <c r="I71" s="15" t="n"/>
      <c r="J71" s="16" t="n"/>
    </row>
    <row r="72">
      <c r="A72" s="15" t="n"/>
      <c r="B72" s="16" t="n"/>
      <c r="C72" s="16" t="n"/>
      <c r="D72" s="15" t="n"/>
      <c r="E72" s="15" t="n"/>
      <c r="F72" s="15">
        <f>IFERROR(VLOOKUP(D72, Config!A:B, 2, FALSE), "")</f>
        <v/>
      </c>
      <c r="G72" s="15">
        <f>IF(E72="", "", WORKDAY(E72, F72))</f>
        <v/>
      </c>
      <c r="H72" s="15" t="n"/>
      <c r="I72" s="15" t="n"/>
      <c r="J72" s="16" t="n"/>
    </row>
    <row r="73">
      <c r="A73" s="15" t="n"/>
      <c r="B73" s="16" t="n"/>
      <c r="C73" s="16" t="n"/>
      <c r="D73" s="15" t="n"/>
      <c r="E73" s="15" t="n"/>
      <c r="F73" s="15">
        <f>IFERROR(VLOOKUP(D73, Config!A:B, 2, FALSE), "")</f>
        <v/>
      </c>
      <c r="G73" s="15">
        <f>IF(E73="", "", WORKDAY(E73, F73))</f>
        <v/>
      </c>
      <c r="H73" s="15" t="n"/>
      <c r="I73" s="15" t="n"/>
      <c r="J73" s="16" t="n"/>
    </row>
    <row r="74">
      <c r="A74" s="15" t="n"/>
      <c r="B74" s="16" t="n"/>
      <c r="C74" s="16" t="n"/>
      <c r="D74" s="15" t="n"/>
      <c r="E74" s="15" t="n"/>
      <c r="F74" s="15">
        <f>IFERROR(VLOOKUP(D74, Config!A:B, 2, FALSE), "")</f>
        <v/>
      </c>
      <c r="G74" s="15">
        <f>IF(E74="", "", WORKDAY(E74, F74))</f>
        <v/>
      </c>
      <c r="H74" s="15" t="n"/>
      <c r="I74" s="15" t="n"/>
      <c r="J74" s="16" t="n"/>
    </row>
    <row r="75">
      <c r="A75" s="15" t="n"/>
      <c r="B75" s="16" t="n"/>
      <c r="C75" s="16" t="n"/>
      <c r="D75" s="15" t="n"/>
      <c r="E75" s="15" t="n"/>
      <c r="F75" s="15">
        <f>IFERROR(VLOOKUP(D75, Config!A:B, 2, FALSE), "")</f>
        <v/>
      </c>
      <c r="G75" s="15">
        <f>IF(E75="", "", WORKDAY(E75, F75))</f>
        <v/>
      </c>
      <c r="H75" s="15" t="n"/>
      <c r="I75" s="15" t="n"/>
      <c r="J75" s="16" t="n"/>
    </row>
    <row r="76">
      <c r="A76" s="15" t="n"/>
      <c r="B76" s="16" t="n"/>
      <c r="C76" s="16" t="n"/>
      <c r="D76" s="15" t="n"/>
      <c r="E76" s="15" t="n"/>
      <c r="F76" s="15">
        <f>IFERROR(VLOOKUP(D76, Config!A:B, 2, FALSE), "")</f>
        <v/>
      </c>
      <c r="G76" s="15">
        <f>IF(E76="", "", WORKDAY(E76, F76))</f>
        <v/>
      </c>
      <c r="H76" s="15" t="n"/>
      <c r="I76" s="15" t="n"/>
      <c r="J76" s="16" t="n"/>
    </row>
    <row r="77">
      <c r="A77" s="15" t="n"/>
      <c r="B77" s="16" t="n"/>
      <c r="C77" s="16" t="n"/>
      <c r="D77" s="15" t="n"/>
      <c r="E77" s="15" t="n"/>
      <c r="F77" s="15">
        <f>IFERROR(VLOOKUP(D77, Config!A:B, 2, FALSE), "")</f>
        <v/>
      </c>
      <c r="G77" s="15">
        <f>IF(E77="", "", WORKDAY(E77, F77))</f>
        <v/>
      </c>
      <c r="H77" s="15" t="n"/>
      <c r="I77" s="15" t="n"/>
      <c r="J77" s="16" t="n"/>
    </row>
    <row r="78">
      <c r="A78" s="15" t="n"/>
      <c r="B78" s="16" t="n"/>
      <c r="C78" s="16" t="n"/>
      <c r="D78" s="15" t="n"/>
      <c r="E78" s="15" t="n"/>
      <c r="F78" s="15">
        <f>IFERROR(VLOOKUP(D78, Config!A:B, 2, FALSE), "")</f>
        <v/>
      </c>
      <c r="G78" s="15">
        <f>IF(E78="", "", WORKDAY(E78, F78))</f>
        <v/>
      </c>
      <c r="H78" s="15" t="n"/>
      <c r="I78" s="15" t="n"/>
      <c r="J78" s="16" t="n"/>
    </row>
    <row r="79">
      <c r="A79" s="15" t="n"/>
      <c r="B79" s="16" t="n"/>
      <c r="C79" s="16" t="n"/>
      <c r="D79" s="15" t="n"/>
      <c r="E79" s="15" t="n"/>
      <c r="F79" s="15">
        <f>IFERROR(VLOOKUP(D79, Config!A:B, 2, FALSE), "")</f>
        <v/>
      </c>
      <c r="G79" s="15">
        <f>IF(E79="", "", WORKDAY(E79, F79))</f>
        <v/>
      </c>
      <c r="H79" s="15" t="n"/>
      <c r="I79" s="15" t="n"/>
      <c r="J79" s="16" t="n"/>
    </row>
    <row r="80">
      <c r="A80" s="15" t="n"/>
      <c r="B80" s="16" t="n"/>
      <c r="C80" s="16" t="n"/>
      <c r="D80" s="15" t="n"/>
      <c r="E80" s="15" t="n"/>
      <c r="F80" s="15">
        <f>IFERROR(VLOOKUP(D80, Config!A:B, 2, FALSE), "")</f>
        <v/>
      </c>
      <c r="G80" s="15">
        <f>IF(E80="", "", WORKDAY(E80, F80))</f>
        <v/>
      </c>
      <c r="H80" s="15" t="n"/>
      <c r="I80" s="15" t="n"/>
      <c r="J80" s="16" t="n"/>
    </row>
    <row r="81">
      <c r="A81" s="15" t="n"/>
      <c r="B81" s="16" t="n"/>
      <c r="C81" s="16" t="n"/>
      <c r="D81" s="15" t="n"/>
      <c r="E81" s="15" t="n"/>
      <c r="F81" s="15">
        <f>IFERROR(VLOOKUP(D81, Config!A:B, 2, FALSE), "")</f>
        <v/>
      </c>
      <c r="G81" s="15">
        <f>IF(E81="", "", WORKDAY(E81, F81))</f>
        <v/>
      </c>
      <c r="H81" s="15" t="n"/>
      <c r="I81" s="15" t="n"/>
      <c r="J81" s="16" t="n"/>
    </row>
    <row r="82">
      <c r="A82" s="15" t="n"/>
      <c r="B82" s="16" t="n"/>
      <c r="C82" s="16" t="n"/>
      <c r="D82" s="15" t="n"/>
      <c r="E82" s="15" t="n"/>
      <c r="F82" s="15">
        <f>IFERROR(VLOOKUP(D82, Config!A:B, 2, FALSE), "")</f>
        <v/>
      </c>
      <c r="G82" s="15">
        <f>IF(E82="", "", WORKDAY(E82, F82))</f>
        <v/>
      </c>
      <c r="H82" s="15" t="n"/>
      <c r="I82" s="15" t="n"/>
      <c r="J82" s="16" t="n"/>
    </row>
    <row r="83">
      <c r="A83" s="15" t="n"/>
      <c r="B83" s="16" t="n"/>
      <c r="C83" s="16" t="n"/>
      <c r="D83" s="15" t="n"/>
      <c r="E83" s="15" t="n"/>
      <c r="F83" s="15">
        <f>IFERROR(VLOOKUP(D83, Config!A:B, 2, FALSE), "")</f>
        <v/>
      </c>
      <c r="G83" s="15">
        <f>IF(E83="", "", WORKDAY(E83, F83))</f>
        <v/>
      </c>
      <c r="H83" s="15" t="n"/>
      <c r="I83" s="15" t="n"/>
      <c r="J83" s="16" t="n"/>
    </row>
    <row r="84">
      <c r="A84" s="15" t="n"/>
      <c r="B84" s="16" t="n"/>
      <c r="C84" s="16" t="n"/>
      <c r="D84" s="15" t="n"/>
      <c r="E84" s="15" t="n"/>
      <c r="F84" s="15">
        <f>IFERROR(VLOOKUP(D84, Config!A:B, 2, FALSE), "")</f>
        <v/>
      </c>
      <c r="G84" s="15">
        <f>IF(E84="", "", WORKDAY(E84, F84))</f>
        <v/>
      </c>
      <c r="H84" s="15" t="n"/>
      <c r="I84" s="15" t="n"/>
      <c r="J84" s="16" t="n"/>
    </row>
    <row r="85">
      <c r="A85" s="15" t="n"/>
      <c r="B85" s="16" t="n"/>
      <c r="C85" s="16" t="n"/>
      <c r="D85" s="15" t="n"/>
      <c r="E85" s="15" t="n"/>
      <c r="F85" s="15">
        <f>IFERROR(VLOOKUP(D85, Config!A:B, 2, FALSE), "")</f>
        <v/>
      </c>
      <c r="G85" s="15">
        <f>IF(E85="", "", WORKDAY(E85, F85))</f>
        <v/>
      </c>
      <c r="H85" s="15" t="n"/>
      <c r="I85" s="15" t="n"/>
      <c r="J85" s="16" t="n"/>
    </row>
    <row r="86">
      <c r="A86" s="15" t="n"/>
      <c r="B86" s="16" t="n"/>
      <c r="C86" s="16" t="n"/>
      <c r="D86" s="15" t="n"/>
      <c r="E86" s="15" t="n"/>
      <c r="F86" s="15">
        <f>IFERROR(VLOOKUP(D86, Config!A:B, 2, FALSE), "")</f>
        <v/>
      </c>
      <c r="G86" s="15">
        <f>IF(E86="", "", WORKDAY(E86, F86))</f>
        <v/>
      </c>
      <c r="H86" s="15" t="n"/>
      <c r="I86" s="15" t="n"/>
      <c r="J86" s="16" t="n"/>
    </row>
    <row r="87">
      <c r="A87" s="15" t="n"/>
      <c r="B87" s="16" t="n"/>
      <c r="C87" s="16" t="n"/>
      <c r="D87" s="15" t="n"/>
      <c r="E87" s="15" t="n"/>
      <c r="F87" s="15">
        <f>IFERROR(VLOOKUP(D87, Config!A:B, 2, FALSE), "")</f>
        <v/>
      </c>
      <c r="G87" s="15">
        <f>IF(E87="", "", WORKDAY(E87, F87))</f>
        <v/>
      </c>
      <c r="H87" s="15" t="n"/>
      <c r="I87" s="15" t="n"/>
      <c r="J87" s="16" t="n"/>
    </row>
    <row r="88">
      <c r="A88" s="15" t="n"/>
      <c r="B88" s="16" t="n"/>
      <c r="C88" s="16" t="n"/>
      <c r="D88" s="15" t="n"/>
      <c r="E88" s="15" t="n"/>
      <c r="F88" s="15">
        <f>IFERROR(VLOOKUP(D88, Config!A:B, 2, FALSE), "")</f>
        <v/>
      </c>
      <c r="G88" s="15">
        <f>IF(E88="", "", WORKDAY(E88, F88))</f>
        <v/>
      </c>
      <c r="H88" s="15" t="n"/>
      <c r="I88" s="15" t="n"/>
      <c r="J88" s="16" t="n"/>
    </row>
    <row r="89">
      <c r="A89" s="15" t="n"/>
      <c r="B89" s="16" t="n"/>
      <c r="C89" s="16" t="n"/>
      <c r="D89" s="15" t="n"/>
      <c r="E89" s="15" t="n"/>
      <c r="F89" s="15">
        <f>IFERROR(VLOOKUP(D89, Config!A:B, 2, FALSE), "")</f>
        <v/>
      </c>
      <c r="G89" s="15">
        <f>IF(E89="", "", WORKDAY(E89, F89))</f>
        <v/>
      </c>
      <c r="H89" s="15" t="n"/>
      <c r="I89" s="15" t="n"/>
      <c r="J89" s="16" t="n"/>
    </row>
    <row r="90">
      <c r="A90" s="15" t="n"/>
      <c r="B90" s="16" t="n"/>
      <c r="C90" s="16" t="n"/>
      <c r="D90" s="15" t="n"/>
      <c r="E90" s="15" t="n"/>
      <c r="F90" s="15">
        <f>IFERROR(VLOOKUP(D90, Config!A:B, 2, FALSE), "")</f>
        <v/>
      </c>
      <c r="G90" s="15">
        <f>IF(E90="", "", WORKDAY(E90, F90))</f>
        <v/>
      </c>
      <c r="H90" s="15" t="n"/>
      <c r="I90" s="15" t="n"/>
      <c r="J90" s="16" t="n"/>
    </row>
    <row r="91">
      <c r="A91" s="15" t="n"/>
      <c r="B91" s="16" t="n"/>
      <c r="C91" s="16" t="n"/>
      <c r="D91" s="15" t="n"/>
      <c r="E91" s="15" t="n"/>
      <c r="F91" s="15">
        <f>IFERROR(VLOOKUP(D91, Config!A:B, 2, FALSE), "")</f>
        <v/>
      </c>
      <c r="G91" s="15">
        <f>IF(E91="", "", WORKDAY(E91, F91))</f>
        <v/>
      </c>
      <c r="H91" s="15" t="n"/>
      <c r="I91" s="15" t="n"/>
      <c r="J91" s="16" t="n"/>
    </row>
    <row r="92">
      <c r="A92" s="15" t="n"/>
      <c r="B92" s="16" t="n"/>
      <c r="C92" s="16" t="n"/>
      <c r="D92" s="15" t="n"/>
      <c r="E92" s="15" t="n"/>
      <c r="F92" s="15">
        <f>IFERROR(VLOOKUP(D92, Config!A:B, 2, FALSE), "")</f>
        <v/>
      </c>
      <c r="G92" s="15">
        <f>IF(E92="", "", WORKDAY(E92, F92))</f>
        <v/>
      </c>
      <c r="H92" s="15" t="n"/>
      <c r="I92" s="15" t="n"/>
      <c r="J92" s="16" t="n"/>
    </row>
    <row r="93">
      <c r="A93" s="15" t="n"/>
      <c r="B93" s="16" t="n"/>
      <c r="C93" s="16" t="n"/>
      <c r="D93" s="15" t="n"/>
      <c r="E93" s="15" t="n"/>
      <c r="F93" s="15">
        <f>IFERROR(VLOOKUP(D93, Config!A:B, 2, FALSE), "")</f>
        <v/>
      </c>
      <c r="G93" s="15">
        <f>IF(E93="", "", WORKDAY(E93, F93))</f>
        <v/>
      </c>
      <c r="H93" s="15" t="n"/>
      <c r="I93" s="15" t="n"/>
      <c r="J93" s="16" t="n"/>
    </row>
    <row r="94">
      <c r="A94" s="15" t="n"/>
      <c r="B94" s="16" t="n"/>
      <c r="C94" s="16" t="n"/>
      <c r="D94" s="15" t="n"/>
      <c r="E94" s="15" t="n"/>
      <c r="F94" s="15">
        <f>IFERROR(VLOOKUP(D94, Config!A:B, 2, FALSE), "")</f>
        <v/>
      </c>
      <c r="G94" s="15">
        <f>IF(E94="", "", WORKDAY(E94, F94))</f>
        <v/>
      </c>
      <c r="H94" s="15" t="n"/>
      <c r="I94" s="15" t="n"/>
      <c r="J94" s="16" t="n"/>
    </row>
    <row r="95">
      <c r="A95" s="15" t="n"/>
      <c r="B95" s="16" t="n"/>
      <c r="C95" s="16" t="n"/>
      <c r="D95" s="15" t="n"/>
      <c r="E95" s="15" t="n"/>
      <c r="F95" s="15">
        <f>IFERROR(VLOOKUP(D95, Config!A:B, 2, FALSE), "")</f>
        <v/>
      </c>
      <c r="G95" s="15">
        <f>IF(E95="", "", WORKDAY(E95, F95))</f>
        <v/>
      </c>
      <c r="H95" s="15" t="n"/>
      <c r="I95" s="15" t="n"/>
      <c r="J95" s="16" t="n"/>
    </row>
    <row r="96">
      <c r="A96" s="15" t="n"/>
      <c r="B96" s="16" t="n"/>
      <c r="C96" s="16" t="n"/>
      <c r="D96" s="15" t="n"/>
      <c r="E96" s="15" t="n"/>
      <c r="F96" s="15">
        <f>IFERROR(VLOOKUP(D96, Config!A:B, 2, FALSE), "")</f>
        <v/>
      </c>
      <c r="G96" s="15">
        <f>IF(E96="", "", WORKDAY(E96, F96))</f>
        <v/>
      </c>
      <c r="H96" s="15" t="n"/>
      <c r="I96" s="15" t="n"/>
      <c r="J96" s="16" t="n"/>
    </row>
    <row r="97">
      <c r="A97" s="15" t="n"/>
      <c r="B97" s="16" t="n"/>
      <c r="C97" s="16" t="n"/>
      <c r="D97" s="15" t="n"/>
      <c r="E97" s="15" t="n"/>
      <c r="F97" s="15">
        <f>IFERROR(VLOOKUP(D97, Config!A:B, 2, FALSE), "")</f>
        <v/>
      </c>
      <c r="G97" s="15">
        <f>IF(E97="", "", WORKDAY(E97, F97))</f>
        <v/>
      </c>
      <c r="H97" s="15" t="n"/>
      <c r="I97" s="15" t="n"/>
      <c r="J97" s="16" t="n"/>
    </row>
    <row r="98">
      <c r="A98" s="15" t="n"/>
      <c r="B98" s="16" t="n"/>
      <c r="C98" s="16" t="n"/>
      <c r="D98" s="15" t="n"/>
      <c r="E98" s="15" t="n"/>
      <c r="F98" s="15">
        <f>IFERROR(VLOOKUP(D98, Config!A:B, 2, FALSE), "")</f>
        <v/>
      </c>
      <c r="G98" s="15">
        <f>IF(E98="", "", WORKDAY(E98, F98))</f>
        <v/>
      </c>
      <c r="H98" s="15" t="n"/>
      <c r="I98" s="15" t="n"/>
      <c r="J98" s="16" t="n"/>
    </row>
    <row r="99">
      <c r="A99" s="15" t="n"/>
      <c r="B99" s="16" t="n"/>
      <c r="C99" s="16" t="n"/>
      <c r="D99" s="15" t="n"/>
      <c r="E99" s="15" t="n"/>
      <c r="F99" s="15">
        <f>IFERROR(VLOOKUP(D99, Config!A:B, 2, FALSE), "")</f>
        <v/>
      </c>
      <c r="G99" s="15">
        <f>IF(E99="", "", WORKDAY(E99, F99))</f>
        <v/>
      </c>
      <c r="H99" s="15" t="n"/>
      <c r="I99" s="15" t="n"/>
      <c r="J99" s="16" t="n"/>
    </row>
    <row r="100">
      <c r="A100" s="15" t="n"/>
      <c r="B100" s="16" t="n"/>
      <c r="C100" s="16" t="n"/>
      <c r="D100" s="15" t="n"/>
      <c r="E100" s="15" t="n"/>
      <c r="F100" s="15">
        <f>IFERROR(VLOOKUP(D100, Config!A:B, 2, FALSE), "")</f>
        <v/>
      </c>
      <c r="G100" s="15">
        <f>IF(E100="", "", WORKDAY(E100, F100))</f>
        <v/>
      </c>
      <c r="H100" s="15" t="n"/>
      <c r="I100" s="15" t="n"/>
      <c r="J100" s="16" t="n"/>
    </row>
  </sheetData>
  <conditionalFormatting sqref="D2:D1000">
    <cfRule type="cellIs" priority="1" operator="equal" dxfId="3">
      <formula>"Baixa"</formula>
    </cfRule>
    <cfRule type="cellIs" priority="2" operator="equal" dxfId="4">
      <formula>"Média"</formula>
    </cfRule>
    <cfRule type="cellIs" priority="3" operator="equal" dxfId="5">
      <formula>"Alta"</formula>
    </cfRule>
  </conditionalFormatting>
  <conditionalFormatting sqref="H2:H1000">
    <cfRule type="cellIs" priority="4" operator="equal" dxfId="3">
      <formula>"Finalizada"</formula>
    </cfRule>
  </conditionalFormatting>
  <dataValidations count="2">
    <dataValidation sqref="D2:D1000" showDropDown="1" showInputMessage="0" showErrorMessage="0" allowBlank="0" type="list">
      <formula1>"Baixa,Média,Alta"</formula1>
    </dataValidation>
    <dataValidation sqref="H2:H1000" showDropDown="1" showInputMessage="0" showErrorMessage="0" allowBlank="0" type="list">
      <formula1>"Pendente,Em Andamento,Finalizada"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25" customWidth="1" min="10" max="10"/>
  </cols>
  <sheetData>
    <row r="1">
      <c r="A1" s="14" t="inlineStr">
        <is>
          <t>ID</t>
        </is>
      </c>
      <c r="B1" s="14" t="inlineStr">
        <is>
          <t>Cliente</t>
        </is>
      </c>
      <c r="C1" s="14" t="inlineStr">
        <is>
          <t>Tipo de Ação</t>
        </is>
      </c>
      <c r="D1" s="14" t="inlineStr">
        <is>
          <t>Complexidade</t>
        </is>
      </c>
      <c r="E1" s="14" t="inlineStr">
        <is>
          <t>Data Envio Doc</t>
        </is>
      </c>
      <c r="F1" s="14" t="inlineStr">
        <is>
          <t>Prazo (Dias)</t>
        </is>
      </c>
      <c r="G1" s="14" t="inlineStr">
        <is>
          <t>Prazo Fatal</t>
        </is>
      </c>
      <c r="H1" s="14" t="inlineStr">
        <is>
          <t>Status</t>
        </is>
      </c>
      <c r="I1" s="14" t="inlineStr">
        <is>
          <t>Data Protocolo</t>
        </is>
      </c>
      <c r="J1" s="14" t="inlineStr">
        <is>
          <t>Advogado Responsável</t>
        </is>
      </c>
    </row>
    <row r="2">
      <c r="A2" s="15" t="n"/>
      <c r="B2" s="16" t="n"/>
      <c r="C2" s="16" t="n"/>
      <c r="D2" s="15" t="n"/>
      <c r="E2" s="15" t="n"/>
      <c r="F2" s="15">
        <f>IFERROR(VLOOKUP(D2, Config!A:B, 2, FALSE), "")</f>
        <v/>
      </c>
      <c r="G2" s="15">
        <f>IF(E2="", "", WORKDAY(E2, F2))</f>
        <v/>
      </c>
      <c r="H2" s="15" t="n"/>
      <c r="I2" s="15" t="n"/>
      <c r="J2" s="16" t="n"/>
    </row>
    <row r="3">
      <c r="A3" s="15" t="n"/>
      <c r="B3" s="16" t="n"/>
      <c r="C3" s="16" t="n"/>
      <c r="D3" s="15" t="n"/>
      <c r="E3" s="15" t="n"/>
      <c r="F3" s="15">
        <f>IFERROR(VLOOKUP(D3, Config!A:B, 2, FALSE), "")</f>
        <v/>
      </c>
      <c r="G3" s="15">
        <f>IF(E3="", "", WORKDAY(E3, F3))</f>
        <v/>
      </c>
      <c r="H3" s="15" t="n"/>
      <c r="I3" s="15" t="n"/>
      <c r="J3" s="16" t="n"/>
    </row>
    <row r="4">
      <c r="A4" s="15" t="n"/>
      <c r="B4" s="16" t="n"/>
      <c r="C4" s="16" t="n"/>
      <c r="D4" s="15" t="n"/>
      <c r="E4" s="15" t="n"/>
      <c r="F4" s="15">
        <f>IFERROR(VLOOKUP(D4, Config!A:B, 2, FALSE), "")</f>
        <v/>
      </c>
      <c r="G4" s="15">
        <f>IF(E4="", "", WORKDAY(E4, F4))</f>
        <v/>
      </c>
      <c r="H4" s="15" t="n"/>
      <c r="I4" s="15" t="n"/>
      <c r="J4" s="16" t="n"/>
    </row>
    <row r="5">
      <c r="A5" s="15" t="n"/>
      <c r="B5" s="16" t="n"/>
      <c r="C5" s="16" t="n"/>
      <c r="D5" s="15" t="n"/>
      <c r="E5" s="15" t="n"/>
      <c r="F5" s="15">
        <f>IFERROR(VLOOKUP(D5, Config!A:B, 2, FALSE), "")</f>
        <v/>
      </c>
      <c r="G5" s="15">
        <f>IF(E5="", "", WORKDAY(E5, F5))</f>
        <v/>
      </c>
      <c r="H5" s="15" t="n"/>
      <c r="I5" s="15" t="n"/>
      <c r="J5" s="16" t="n"/>
    </row>
    <row r="6">
      <c r="A6" s="15" t="n"/>
      <c r="B6" s="16" t="n"/>
      <c r="C6" s="16" t="n"/>
      <c r="D6" s="15" t="n"/>
      <c r="E6" s="15" t="n"/>
      <c r="F6" s="15">
        <f>IFERROR(VLOOKUP(D6, Config!A:B, 2, FALSE), "")</f>
        <v/>
      </c>
      <c r="G6" s="15">
        <f>IF(E6="", "", WORKDAY(E6, F6))</f>
        <v/>
      </c>
      <c r="H6" s="15" t="n"/>
      <c r="I6" s="15" t="n"/>
      <c r="J6" s="16" t="n"/>
    </row>
    <row r="7">
      <c r="A7" s="15" t="n"/>
      <c r="B7" s="16" t="n"/>
      <c r="C7" s="16" t="n"/>
      <c r="D7" s="15" t="n"/>
      <c r="E7" s="15" t="n"/>
      <c r="F7" s="15">
        <f>IFERROR(VLOOKUP(D7, Config!A:B, 2, FALSE), "")</f>
        <v/>
      </c>
      <c r="G7" s="15">
        <f>IF(E7="", "", WORKDAY(E7, F7))</f>
        <v/>
      </c>
      <c r="H7" s="15" t="n"/>
      <c r="I7" s="15" t="n"/>
      <c r="J7" s="16" t="n"/>
    </row>
    <row r="8">
      <c r="A8" s="15" t="n"/>
      <c r="B8" s="16" t="n"/>
      <c r="C8" s="16" t="n"/>
      <c r="D8" s="15" t="n"/>
      <c r="E8" s="15" t="n"/>
      <c r="F8" s="15">
        <f>IFERROR(VLOOKUP(D8, Config!A:B, 2, FALSE), "")</f>
        <v/>
      </c>
      <c r="G8" s="15">
        <f>IF(E8="", "", WORKDAY(E8, F8))</f>
        <v/>
      </c>
      <c r="H8" s="15" t="n"/>
      <c r="I8" s="15" t="n"/>
      <c r="J8" s="16" t="n"/>
    </row>
    <row r="9">
      <c r="A9" s="15" t="n"/>
      <c r="B9" s="16" t="n"/>
      <c r="C9" s="16" t="n"/>
      <c r="D9" s="15" t="n"/>
      <c r="E9" s="15" t="n"/>
      <c r="F9" s="15">
        <f>IFERROR(VLOOKUP(D9, Config!A:B, 2, FALSE), "")</f>
        <v/>
      </c>
      <c r="G9" s="15">
        <f>IF(E9="", "", WORKDAY(E9, F9))</f>
        <v/>
      </c>
      <c r="H9" s="15" t="n"/>
      <c r="I9" s="15" t="n"/>
      <c r="J9" s="16" t="n"/>
    </row>
    <row r="10">
      <c r="A10" s="15" t="n"/>
      <c r="B10" s="16" t="n"/>
      <c r="C10" s="16" t="n"/>
      <c r="D10" s="15" t="n"/>
      <c r="E10" s="15" t="n"/>
      <c r="F10" s="15">
        <f>IFERROR(VLOOKUP(D10, Config!A:B, 2, FALSE), "")</f>
        <v/>
      </c>
      <c r="G10" s="15">
        <f>IF(E10="", "", WORKDAY(E10, F10))</f>
        <v/>
      </c>
      <c r="H10" s="15" t="n"/>
      <c r="I10" s="15" t="n"/>
      <c r="J10" s="16" t="n"/>
    </row>
    <row r="11">
      <c r="A11" s="15" t="n"/>
      <c r="B11" s="16" t="n"/>
      <c r="C11" s="16" t="n"/>
      <c r="D11" s="15" t="n"/>
      <c r="E11" s="15" t="n"/>
      <c r="F11" s="15">
        <f>IFERROR(VLOOKUP(D11, Config!A:B, 2, FALSE), "")</f>
        <v/>
      </c>
      <c r="G11" s="15">
        <f>IF(E11="", "", WORKDAY(E11, F11))</f>
        <v/>
      </c>
      <c r="H11" s="15" t="n"/>
      <c r="I11" s="15" t="n"/>
      <c r="J11" s="16" t="n"/>
    </row>
    <row r="12">
      <c r="A12" s="15" t="n"/>
      <c r="B12" s="16" t="n"/>
      <c r="C12" s="16" t="n"/>
      <c r="D12" s="15" t="n"/>
      <c r="E12" s="15" t="n"/>
      <c r="F12" s="15">
        <f>IFERROR(VLOOKUP(D12, Config!A:B, 2, FALSE), "")</f>
        <v/>
      </c>
      <c r="G12" s="15">
        <f>IF(E12="", "", WORKDAY(E12, F12))</f>
        <v/>
      </c>
      <c r="H12" s="15" t="n"/>
      <c r="I12" s="15" t="n"/>
      <c r="J12" s="16" t="n"/>
    </row>
    <row r="13">
      <c r="A13" s="15" t="n"/>
      <c r="B13" s="16" t="n"/>
      <c r="C13" s="16" t="n"/>
      <c r="D13" s="15" t="n"/>
      <c r="E13" s="15" t="n"/>
      <c r="F13" s="15">
        <f>IFERROR(VLOOKUP(D13, Config!A:B, 2, FALSE), "")</f>
        <v/>
      </c>
      <c r="G13" s="15">
        <f>IF(E13="", "", WORKDAY(E13, F13))</f>
        <v/>
      </c>
      <c r="H13" s="15" t="n"/>
      <c r="I13" s="15" t="n"/>
      <c r="J13" s="16" t="n"/>
    </row>
    <row r="14">
      <c r="A14" s="15" t="n"/>
      <c r="B14" s="16" t="n"/>
      <c r="C14" s="16" t="n"/>
      <c r="D14" s="15" t="n"/>
      <c r="E14" s="15" t="n"/>
      <c r="F14" s="15">
        <f>IFERROR(VLOOKUP(D14, Config!A:B, 2, FALSE), "")</f>
        <v/>
      </c>
      <c r="G14" s="15">
        <f>IF(E14="", "", WORKDAY(E14, F14))</f>
        <v/>
      </c>
      <c r="H14" s="15" t="n"/>
      <c r="I14" s="15" t="n"/>
      <c r="J14" s="16" t="n"/>
    </row>
    <row r="15">
      <c r="A15" s="15" t="n"/>
      <c r="B15" s="16" t="n"/>
      <c r="C15" s="16" t="n"/>
      <c r="D15" s="15" t="n"/>
      <c r="E15" s="15" t="n"/>
      <c r="F15" s="15">
        <f>IFERROR(VLOOKUP(D15, Config!A:B, 2, FALSE), "")</f>
        <v/>
      </c>
      <c r="G15" s="15">
        <f>IF(E15="", "", WORKDAY(E15, F15))</f>
        <v/>
      </c>
      <c r="H15" s="15" t="n"/>
      <c r="I15" s="15" t="n"/>
      <c r="J15" s="16" t="n"/>
    </row>
    <row r="16">
      <c r="A16" s="15" t="n"/>
      <c r="B16" s="16" t="n"/>
      <c r="C16" s="16" t="n"/>
      <c r="D16" s="15" t="n"/>
      <c r="E16" s="15" t="n"/>
      <c r="F16" s="15">
        <f>IFERROR(VLOOKUP(D16, Config!A:B, 2, FALSE), "")</f>
        <v/>
      </c>
      <c r="G16" s="15">
        <f>IF(E16="", "", WORKDAY(E16, F16))</f>
        <v/>
      </c>
      <c r="H16" s="15" t="n"/>
      <c r="I16" s="15" t="n"/>
      <c r="J16" s="16" t="n"/>
    </row>
    <row r="17">
      <c r="A17" s="15" t="n"/>
      <c r="B17" s="16" t="n"/>
      <c r="C17" s="16" t="n"/>
      <c r="D17" s="15" t="n"/>
      <c r="E17" s="15" t="n"/>
      <c r="F17" s="15">
        <f>IFERROR(VLOOKUP(D17, Config!A:B, 2, FALSE), "")</f>
        <v/>
      </c>
      <c r="G17" s="15">
        <f>IF(E17="", "", WORKDAY(E17, F17))</f>
        <v/>
      </c>
      <c r="H17" s="15" t="n"/>
      <c r="I17" s="15" t="n"/>
      <c r="J17" s="16" t="n"/>
    </row>
    <row r="18">
      <c r="A18" s="15" t="n"/>
      <c r="B18" s="16" t="n"/>
      <c r="C18" s="16" t="n"/>
      <c r="D18" s="15" t="n"/>
      <c r="E18" s="15" t="n"/>
      <c r="F18" s="15">
        <f>IFERROR(VLOOKUP(D18, Config!A:B, 2, FALSE), "")</f>
        <v/>
      </c>
      <c r="G18" s="15">
        <f>IF(E18="", "", WORKDAY(E18, F18))</f>
        <v/>
      </c>
      <c r="H18" s="15" t="n"/>
      <c r="I18" s="15" t="n"/>
      <c r="J18" s="16" t="n"/>
    </row>
    <row r="19">
      <c r="A19" s="15" t="n"/>
      <c r="B19" s="16" t="n"/>
      <c r="C19" s="16" t="n"/>
      <c r="D19" s="15" t="n"/>
      <c r="E19" s="15" t="n"/>
      <c r="F19" s="15">
        <f>IFERROR(VLOOKUP(D19, Config!A:B, 2, FALSE), "")</f>
        <v/>
      </c>
      <c r="G19" s="15">
        <f>IF(E19="", "", WORKDAY(E19, F19))</f>
        <v/>
      </c>
      <c r="H19" s="15" t="n"/>
      <c r="I19" s="15" t="n"/>
      <c r="J19" s="16" t="n"/>
    </row>
    <row r="20">
      <c r="A20" s="15" t="n"/>
      <c r="B20" s="16" t="n"/>
      <c r="C20" s="16" t="n"/>
      <c r="D20" s="15" t="n"/>
      <c r="E20" s="15" t="n"/>
      <c r="F20" s="15">
        <f>IFERROR(VLOOKUP(D20, Config!A:B, 2, FALSE), "")</f>
        <v/>
      </c>
      <c r="G20" s="15">
        <f>IF(E20="", "", WORKDAY(E20, F20))</f>
        <v/>
      </c>
      <c r="H20" s="15" t="n"/>
      <c r="I20" s="15" t="n"/>
      <c r="J20" s="16" t="n"/>
    </row>
    <row r="21">
      <c r="A21" s="15" t="n"/>
      <c r="B21" s="16" t="n"/>
      <c r="C21" s="16" t="n"/>
      <c r="D21" s="15" t="n"/>
      <c r="E21" s="15" t="n"/>
      <c r="F21" s="15">
        <f>IFERROR(VLOOKUP(D21, Config!A:B, 2, FALSE), "")</f>
        <v/>
      </c>
      <c r="G21" s="15">
        <f>IF(E21="", "", WORKDAY(E21, F21))</f>
        <v/>
      </c>
      <c r="H21" s="15" t="n"/>
      <c r="I21" s="15" t="n"/>
      <c r="J21" s="16" t="n"/>
    </row>
    <row r="22">
      <c r="A22" s="15" t="n"/>
      <c r="B22" s="16" t="n"/>
      <c r="C22" s="16" t="n"/>
      <c r="D22" s="15" t="n"/>
      <c r="E22" s="15" t="n"/>
      <c r="F22" s="15">
        <f>IFERROR(VLOOKUP(D22, Config!A:B, 2, FALSE), "")</f>
        <v/>
      </c>
      <c r="G22" s="15">
        <f>IF(E22="", "", WORKDAY(E22, F22))</f>
        <v/>
      </c>
      <c r="H22" s="15" t="n"/>
      <c r="I22" s="15" t="n"/>
      <c r="J22" s="16" t="n"/>
    </row>
    <row r="23">
      <c r="A23" s="15" t="n"/>
      <c r="B23" s="16" t="n"/>
      <c r="C23" s="16" t="n"/>
      <c r="D23" s="15" t="n"/>
      <c r="E23" s="15" t="n"/>
      <c r="F23" s="15">
        <f>IFERROR(VLOOKUP(D23, Config!A:B, 2, FALSE), "")</f>
        <v/>
      </c>
      <c r="G23" s="15">
        <f>IF(E23="", "", WORKDAY(E23, F23))</f>
        <v/>
      </c>
      <c r="H23" s="15" t="n"/>
      <c r="I23" s="15" t="n"/>
      <c r="J23" s="16" t="n"/>
    </row>
    <row r="24">
      <c r="A24" s="15" t="n"/>
      <c r="B24" s="16" t="n"/>
      <c r="C24" s="16" t="n"/>
      <c r="D24" s="15" t="n"/>
      <c r="E24" s="15" t="n"/>
      <c r="F24" s="15">
        <f>IFERROR(VLOOKUP(D24, Config!A:B, 2, FALSE), "")</f>
        <v/>
      </c>
      <c r="G24" s="15">
        <f>IF(E24="", "", WORKDAY(E24, F24))</f>
        <v/>
      </c>
      <c r="H24" s="15" t="n"/>
      <c r="I24" s="15" t="n"/>
      <c r="J24" s="16" t="n"/>
    </row>
    <row r="25">
      <c r="A25" s="15" t="n"/>
      <c r="B25" s="16" t="n"/>
      <c r="C25" s="16" t="n"/>
      <c r="D25" s="15" t="n"/>
      <c r="E25" s="15" t="n"/>
      <c r="F25" s="15">
        <f>IFERROR(VLOOKUP(D25, Config!A:B, 2, FALSE), "")</f>
        <v/>
      </c>
      <c r="G25" s="15">
        <f>IF(E25="", "", WORKDAY(E25, F25))</f>
        <v/>
      </c>
      <c r="H25" s="15" t="n"/>
      <c r="I25" s="15" t="n"/>
      <c r="J25" s="16" t="n"/>
    </row>
    <row r="26">
      <c r="A26" s="15" t="n"/>
      <c r="B26" s="16" t="n"/>
      <c r="C26" s="16" t="n"/>
      <c r="D26" s="15" t="n"/>
      <c r="E26" s="15" t="n"/>
      <c r="F26" s="15">
        <f>IFERROR(VLOOKUP(D26, Config!A:B, 2, FALSE), "")</f>
        <v/>
      </c>
      <c r="G26" s="15">
        <f>IF(E26="", "", WORKDAY(E26, F26))</f>
        <v/>
      </c>
      <c r="H26" s="15" t="n"/>
      <c r="I26" s="15" t="n"/>
      <c r="J26" s="16" t="n"/>
    </row>
    <row r="27">
      <c r="A27" s="15" t="n"/>
      <c r="B27" s="16" t="n"/>
      <c r="C27" s="16" t="n"/>
      <c r="D27" s="15" t="n"/>
      <c r="E27" s="15" t="n"/>
      <c r="F27" s="15">
        <f>IFERROR(VLOOKUP(D27, Config!A:B, 2, FALSE), "")</f>
        <v/>
      </c>
      <c r="G27" s="15">
        <f>IF(E27="", "", WORKDAY(E27, F27))</f>
        <v/>
      </c>
      <c r="H27" s="15" t="n"/>
      <c r="I27" s="15" t="n"/>
      <c r="J27" s="16" t="n"/>
    </row>
    <row r="28">
      <c r="A28" s="15" t="n"/>
      <c r="B28" s="16" t="n"/>
      <c r="C28" s="16" t="n"/>
      <c r="D28" s="15" t="n"/>
      <c r="E28" s="15" t="n"/>
      <c r="F28" s="15">
        <f>IFERROR(VLOOKUP(D28, Config!A:B, 2, FALSE), "")</f>
        <v/>
      </c>
      <c r="G28" s="15">
        <f>IF(E28="", "", WORKDAY(E28, F28))</f>
        <v/>
      </c>
      <c r="H28" s="15" t="n"/>
      <c r="I28" s="15" t="n"/>
      <c r="J28" s="16" t="n"/>
    </row>
    <row r="29">
      <c r="A29" s="15" t="n"/>
      <c r="B29" s="16" t="n"/>
      <c r="C29" s="16" t="n"/>
      <c r="D29" s="15" t="n"/>
      <c r="E29" s="15" t="n"/>
      <c r="F29" s="15">
        <f>IFERROR(VLOOKUP(D29, Config!A:B, 2, FALSE), "")</f>
        <v/>
      </c>
      <c r="G29" s="15">
        <f>IF(E29="", "", WORKDAY(E29, F29))</f>
        <v/>
      </c>
      <c r="H29" s="15" t="n"/>
      <c r="I29" s="15" t="n"/>
      <c r="J29" s="16" t="n"/>
    </row>
    <row r="30">
      <c r="A30" s="15" t="n"/>
      <c r="B30" s="16" t="n"/>
      <c r="C30" s="16" t="n"/>
      <c r="D30" s="15" t="n"/>
      <c r="E30" s="15" t="n"/>
      <c r="F30" s="15">
        <f>IFERROR(VLOOKUP(D30, Config!A:B, 2, FALSE), "")</f>
        <v/>
      </c>
      <c r="G30" s="15">
        <f>IF(E30="", "", WORKDAY(E30, F30))</f>
        <v/>
      </c>
      <c r="H30" s="15" t="n"/>
      <c r="I30" s="15" t="n"/>
      <c r="J30" s="16" t="n"/>
    </row>
    <row r="31">
      <c r="A31" s="15" t="n"/>
      <c r="B31" s="16" t="n"/>
      <c r="C31" s="16" t="n"/>
      <c r="D31" s="15" t="n"/>
      <c r="E31" s="15" t="n"/>
      <c r="F31" s="15">
        <f>IFERROR(VLOOKUP(D31, Config!A:B, 2, FALSE), "")</f>
        <v/>
      </c>
      <c r="G31" s="15">
        <f>IF(E31="", "", WORKDAY(E31, F31))</f>
        <v/>
      </c>
      <c r="H31" s="15" t="n"/>
      <c r="I31" s="15" t="n"/>
      <c r="J31" s="16" t="n"/>
    </row>
    <row r="32">
      <c r="A32" s="15" t="n"/>
      <c r="B32" s="16" t="n"/>
      <c r="C32" s="16" t="n"/>
      <c r="D32" s="15" t="n"/>
      <c r="E32" s="15" t="n"/>
      <c r="F32" s="15">
        <f>IFERROR(VLOOKUP(D32, Config!A:B, 2, FALSE), "")</f>
        <v/>
      </c>
      <c r="G32" s="15">
        <f>IF(E32="", "", WORKDAY(E32, F32))</f>
        <v/>
      </c>
      <c r="H32" s="15" t="n"/>
      <c r="I32" s="15" t="n"/>
      <c r="J32" s="16" t="n"/>
    </row>
    <row r="33">
      <c r="A33" s="15" t="n"/>
      <c r="B33" s="16" t="n"/>
      <c r="C33" s="16" t="n"/>
      <c r="D33" s="15" t="n"/>
      <c r="E33" s="15" t="n"/>
      <c r="F33" s="15">
        <f>IFERROR(VLOOKUP(D33, Config!A:B, 2, FALSE), "")</f>
        <v/>
      </c>
      <c r="G33" s="15">
        <f>IF(E33="", "", WORKDAY(E33, F33))</f>
        <v/>
      </c>
      <c r="H33" s="15" t="n"/>
      <c r="I33" s="15" t="n"/>
      <c r="J33" s="16" t="n"/>
    </row>
    <row r="34">
      <c r="A34" s="15" t="n"/>
      <c r="B34" s="16" t="n"/>
      <c r="C34" s="16" t="n"/>
      <c r="D34" s="15" t="n"/>
      <c r="E34" s="15" t="n"/>
      <c r="F34" s="15">
        <f>IFERROR(VLOOKUP(D34, Config!A:B, 2, FALSE), "")</f>
        <v/>
      </c>
      <c r="G34" s="15">
        <f>IF(E34="", "", WORKDAY(E34, F34))</f>
        <v/>
      </c>
      <c r="H34" s="15" t="n"/>
      <c r="I34" s="15" t="n"/>
      <c r="J34" s="16" t="n"/>
    </row>
    <row r="35">
      <c r="A35" s="15" t="n"/>
      <c r="B35" s="16" t="n"/>
      <c r="C35" s="16" t="n"/>
      <c r="D35" s="15" t="n"/>
      <c r="E35" s="15" t="n"/>
      <c r="F35" s="15">
        <f>IFERROR(VLOOKUP(D35, Config!A:B, 2, FALSE), "")</f>
        <v/>
      </c>
      <c r="G35" s="15">
        <f>IF(E35="", "", WORKDAY(E35, F35))</f>
        <v/>
      </c>
      <c r="H35" s="15" t="n"/>
      <c r="I35" s="15" t="n"/>
      <c r="J35" s="16" t="n"/>
    </row>
    <row r="36">
      <c r="A36" s="15" t="n"/>
      <c r="B36" s="16" t="n"/>
      <c r="C36" s="16" t="n"/>
      <c r="D36" s="15" t="n"/>
      <c r="E36" s="15" t="n"/>
      <c r="F36" s="15">
        <f>IFERROR(VLOOKUP(D36, Config!A:B, 2, FALSE), "")</f>
        <v/>
      </c>
      <c r="G36" s="15">
        <f>IF(E36="", "", WORKDAY(E36, F36))</f>
        <v/>
      </c>
      <c r="H36" s="15" t="n"/>
      <c r="I36" s="15" t="n"/>
      <c r="J36" s="16" t="n"/>
    </row>
    <row r="37">
      <c r="A37" s="15" t="n"/>
      <c r="B37" s="16" t="n"/>
      <c r="C37" s="16" t="n"/>
      <c r="D37" s="15" t="n"/>
      <c r="E37" s="15" t="n"/>
      <c r="F37" s="15">
        <f>IFERROR(VLOOKUP(D37, Config!A:B, 2, FALSE), "")</f>
        <v/>
      </c>
      <c r="G37" s="15">
        <f>IF(E37="", "", WORKDAY(E37, F37))</f>
        <v/>
      </c>
      <c r="H37" s="15" t="n"/>
      <c r="I37" s="15" t="n"/>
      <c r="J37" s="16" t="n"/>
    </row>
    <row r="38">
      <c r="A38" s="15" t="n"/>
      <c r="B38" s="16" t="n"/>
      <c r="C38" s="16" t="n"/>
      <c r="D38" s="15" t="n"/>
      <c r="E38" s="15" t="n"/>
      <c r="F38" s="15">
        <f>IFERROR(VLOOKUP(D38, Config!A:B, 2, FALSE), "")</f>
        <v/>
      </c>
      <c r="G38" s="15">
        <f>IF(E38="", "", WORKDAY(E38, F38))</f>
        <v/>
      </c>
      <c r="H38" s="15" t="n"/>
      <c r="I38" s="15" t="n"/>
      <c r="J38" s="16" t="n"/>
    </row>
    <row r="39">
      <c r="A39" s="15" t="n"/>
      <c r="B39" s="16" t="n"/>
      <c r="C39" s="16" t="n"/>
      <c r="D39" s="15" t="n"/>
      <c r="E39" s="15" t="n"/>
      <c r="F39" s="15">
        <f>IFERROR(VLOOKUP(D39, Config!A:B, 2, FALSE), "")</f>
        <v/>
      </c>
      <c r="G39" s="15">
        <f>IF(E39="", "", WORKDAY(E39, F39))</f>
        <v/>
      </c>
      <c r="H39" s="15" t="n"/>
      <c r="I39" s="15" t="n"/>
      <c r="J39" s="16" t="n"/>
    </row>
    <row r="40">
      <c r="A40" s="15" t="n"/>
      <c r="B40" s="16" t="n"/>
      <c r="C40" s="16" t="n"/>
      <c r="D40" s="15" t="n"/>
      <c r="E40" s="15" t="n"/>
      <c r="F40" s="15">
        <f>IFERROR(VLOOKUP(D40, Config!A:B, 2, FALSE), "")</f>
        <v/>
      </c>
      <c r="G40" s="15">
        <f>IF(E40="", "", WORKDAY(E40, F40))</f>
        <v/>
      </c>
      <c r="H40" s="15" t="n"/>
      <c r="I40" s="15" t="n"/>
      <c r="J40" s="16" t="n"/>
    </row>
    <row r="41">
      <c r="A41" s="15" t="n"/>
      <c r="B41" s="16" t="n"/>
      <c r="C41" s="16" t="n"/>
      <c r="D41" s="15" t="n"/>
      <c r="E41" s="15" t="n"/>
      <c r="F41" s="15">
        <f>IFERROR(VLOOKUP(D41, Config!A:B, 2, FALSE), "")</f>
        <v/>
      </c>
      <c r="G41" s="15">
        <f>IF(E41="", "", WORKDAY(E41, F41))</f>
        <v/>
      </c>
      <c r="H41" s="15" t="n"/>
      <c r="I41" s="15" t="n"/>
      <c r="J41" s="16" t="n"/>
    </row>
    <row r="42">
      <c r="A42" s="15" t="n"/>
      <c r="B42" s="16" t="n"/>
      <c r="C42" s="16" t="n"/>
      <c r="D42" s="15" t="n"/>
      <c r="E42" s="15" t="n"/>
      <c r="F42" s="15">
        <f>IFERROR(VLOOKUP(D42, Config!A:B, 2, FALSE), "")</f>
        <v/>
      </c>
      <c r="G42" s="15">
        <f>IF(E42="", "", WORKDAY(E42, F42))</f>
        <v/>
      </c>
      <c r="H42" s="15" t="n"/>
      <c r="I42" s="15" t="n"/>
      <c r="J42" s="16" t="n"/>
    </row>
    <row r="43">
      <c r="A43" s="15" t="n"/>
      <c r="B43" s="16" t="n"/>
      <c r="C43" s="16" t="n"/>
      <c r="D43" s="15" t="n"/>
      <c r="E43" s="15" t="n"/>
      <c r="F43" s="15">
        <f>IFERROR(VLOOKUP(D43, Config!A:B, 2, FALSE), "")</f>
        <v/>
      </c>
      <c r="G43" s="15">
        <f>IF(E43="", "", WORKDAY(E43, F43))</f>
        <v/>
      </c>
      <c r="H43" s="15" t="n"/>
      <c r="I43" s="15" t="n"/>
      <c r="J43" s="16" t="n"/>
    </row>
    <row r="44">
      <c r="A44" s="15" t="n"/>
      <c r="B44" s="16" t="n"/>
      <c r="C44" s="16" t="n"/>
      <c r="D44" s="15" t="n"/>
      <c r="E44" s="15" t="n"/>
      <c r="F44" s="15">
        <f>IFERROR(VLOOKUP(D44, Config!A:B, 2, FALSE), "")</f>
        <v/>
      </c>
      <c r="G44" s="15">
        <f>IF(E44="", "", WORKDAY(E44, F44))</f>
        <v/>
      </c>
      <c r="H44" s="15" t="n"/>
      <c r="I44" s="15" t="n"/>
      <c r="J44" s="16" t="n"/>
    </row>
    <row r="45">
      <c r="A45" s="15" t="n"/>
      <c r="B45" s="16" t="n"/>
      <c r="C45" s="16" t="n"/>
      <c r="D45" s="15" t="n"/>
      <c r="E45" s="15" t="n"/>
      <c r="F45" s="15">
        <f>IFERROR(VLOOKUP(D45, Config!A:B, 2, FALSE), "")</f>
        <v/>
      </c>
      <c r="G45" s="15">
        <f>IF(E45="", "", WORKDAY(E45, F45))</f>
        <v/>
      </c>
      <c r="H45" s="15" t="n"/>
      <c r="I45" s="15" t="n"/>
      <c r="J45" s="16" t="n"/>
    </row>
    <row r="46">
      <c r="A46" s="15" t="n"/>
      <c r="B46" s="16" t="n"/>
      <c r="C46" s="16" t="n"/>
      <c r="D46" s="15" t="n"/>
      <c r="E46" s="15" t="n"/>
      <c r="F46" s="15">
        <f>IFERROR(VLOOKUP(D46, Config!A:B, 2, FALSE), "")</f>
        <v/>
      </c>
      <c r="G46" s="15">
        <f>IF(E46="", "", WORKDAY(E46, F46))</f>
        <v/>
      </c>
      <c r="H46" s="15" t="n"/>
      <c r="I46" s="15" t="n"/>
      <c r="J46" s="16" t="n"/>
    </row>
    <row r="47">
      <c r="A47" s="15" t="n"/>
      <c r="B47" s="16" t="n"/>
      <c r="C47" s="16" t="n"/>
      <c r="D47" s="15" t="n"/>
      <c r="E47" s="15" t="n"/>
      <c r="F47" s="15">
        <f>IFERROR(VLOOKUP(D47, Config!A:B, 2, FALSE), "")</f>
        <v/>
      </c>
      <c r="G47" s="15">
        <f>IF(E47="", "", WORKDAY(E47, F47))</f>
        <v/>
      </c>
      <c r="H47" s="15" t="n"/>
      <c r="I47" s="15" t="n"/>
      <c r="J47" s="16" t="n"/>
    </row>
    <row r="48">
      <c r="A48" s="15" t="n"/>
      <c r="B48" s="16" t="n"/>
      <c r="C48" s="16" t="n"/>
      <c r="D48" s="15" t="n"/>
      <c r="E48" s="15" t="n"/>
      <c r="F48" s="15">
        <f>IFERROR(VLOOKUP(D48, Config!A:B, 2, FALSE), "")</f>
        <v/>
      </c>
      <c r="G48" s="15">
        <f>IF(E48="", "", WORKDAY(E48, F48))</f>
        <v/>
      </c>
      <c r="H48" s="15" t="n"/>
      <c r="I48" s="15" t="n"/>
      <c r="J48" s="16" t="n"/>
    </row>
    <row r="49">
      <c r="A49" s="15" t="n"/>
      <c r="B49" s="16" t="n"/>
      <c r="C49" s="16" t="n"/>
      <c r="D49" s="15" t="n"/>
      <c r="E49" s="15" t="n"/>
      <c r="F49" s="15">
        <f>IFERROR(VLOOKUP(D49, Config!A:B, 2, FALSE), "")</f>
        <v/>
      </c>
      <c r="G49" s="15">
        <f>IF(E49="", "", WORKDAY(E49, F49))</f>
        <v/>
      </c>
      <c r="H49" s="15" t="n"/>
      <c r="I49" s="15" t="n"/>
      <c r="J49" s="16" t="n"/>
    </row>
    <row r="50">
      <c r="A50" s="15" t="n"/>
      <c r="B50" s="16" t="n"/>
      <c r="C50" s="16" t="n"/>
      <c r="D50" s="15" t="n"/>
      <c r="E50" s="15" t="n"/>
      <c r="F50" s="15">
        <f>IFERROR(VLOOKUP(D50, Config!A:B, 2, FALSE), "")</f>
        <v/>
      </c>
      <c r="G50" s="15">
        <f>IF(E50="", "", WORKDAY(E50, F50))</f>
        <v/>
      </c>
      <c r="H50" s="15" t="n"/>
      <c r="I50" s="15" t="n"/>
      <c r="J50" s="16" t="n"/>
    </row>
    <row r="51">
      <c r="A51" s="15" t="n"/>
      <c r="B51" s="16" t="n"/>
      <c r="C51" s="16" t="n"/>
      <c r="D51" s="15" t="n"/>
      <c r="E51" s="15" t="n"/>
      <c r="F51" s="15">
        <f>IFERROR(VLOOKUP(D51, Config!A:B, 2, FALSE), "")</f>
        <v/>
      </c>
      <c r="G51" s="15">
        <f>IF(E51="", "", WORKDAY(E51, F51))</f>
        <v/>
      </c>
      <c r="H51" s="15" t="n"/>
      <c r="I51" s="15" t="n"/>
      <c r="J51" s="16" t="n"/>
    </row>
    <row r="52">
      <c r="A52" s="15" t="n"/>
      <c r="B52" s="16" t="n"/>
      <c r="C52" s="16" t="n"/>
      <c r="D52" s="15" t="n"/>
      <c r="E52" s="15" t="n"/>
      <c r="F52" s="15">
        <f>IFERROR(VLOOKUP(D52, Config!A:B, 2, FALSE), "")</f>
        <v/>
      </c>
      <c r="G52" s="15">
        <f>IF(E52="", "", WORKDAY(E52, F52))</f>
        <v/>
      </c>
      <c r="H52" s="15" t="n"/>
      <c r="I52" s="15" t="n"/>
      <c r="J52" s="16" t="n"/>
    </row>
    <row r="53">
      <c r="A53" s="15" t="n"/>
      <c r="B53" s="16" t="n"/>
      <c r="C53" s="16" t="n"/>
      <c r="D53" s="15" t="n"/>
      <c r="E53" s="15" t="n"/>
      <c r="F53" s="15">
        <f>IFERROR(VLOOKUP(D53, Config!A:B, 2, FALSE), "")</f>
        <v/>
      </c>
      <c r="G53" s="15">
        <f>IF(E53="", "", WORKDAY(E53, F53))</f>
        <v/>
      </c>
      <c r="H53" s="15" t="n"/>
      <c r="I53" s="15" t="n"/>
      <c r="J53" s="16" t="n"/>
    </row>
    <row r="54">
      <c r="A54" s="15" t="n"/>
      <c r="B54" s="16" t="n"/>
      <c r="C54" s="16" t="n"/>
      <c r="D54" s="15" t="n"/>
      <c r="E54" s="15" t="n"/>
      <c r="F54" s="15">
        <f>IFERROR(VLOOKUP(D54, Config!A:B, 2, FALSE), "")</f>
        <v/>
      </c>
      <c r="G54" s="15">
        <f>IF(E54="", "", WORKDAY(E54, F54))</f>
        <v/>
      </c>
      <c r="H54" s="15" t="n"/>
      <c r="I54" s="15" t="n"/>
      <c r="J54" s="16" t="n"/>
    </row>
    <row r="55">
      <c r="A55" s="15" t="n"/>
      <c r="B55" s="16" t="n"/>
      <c r="C55" s="16" t="n"/>
      <c r="D55" s="15" t="n"/>
      <c r="E55" s="15" t="n"/>
      <c r="F55" s="15">
        <f>IFERROR(VLOOKUP(D55, Config!A:B, 2, FALSE), "")</f>
        <v/>
      </c>
      <c r="G55" s="15">
        <f>IF(E55="", "", WORKDAY(E55, F55))</f>
        <v/>
      </c>
      <c r="H55" s="15" t="n"/>
      <c r="I55" s="15" t="n"/>
      <c r="J55" s="16" t="n"/>
    </row>
    <row r="56">
      <c r="A56" s="15" t="n"/>
      <c r="B56" s="16" t="n"/>
      <c r="C56" s="16" t="n"/>
      <c r="D56" s="15" t="n"/>
      <c r="E56" s="15" t="n"/>
      <c r="F56" s="15">
        <f>IFERROR(VLOOKUP(D56, Config!A:B, 2, FALSE), "")</f>
        <v/>
      </c>
      <c r="G56" s="15">
        <f>IF(E56="", "", WORKDAY(E56, F56))</f>
        <v/>
      </c>
      <c r="H56" s="15" t="n"/>
      <c r="I56" s="15" t="n"/>
      <c r="J56" s="16" t="n"/>
    </row>
    <row r="57">
      <c r="A57" s="15" t="n"/>
      <c r="B57" s="16" t="n"/>
      <c r="C57" s="16" t="n"/>
      <c r="D57" s="15" t="n"/>
      <c r="E57" s="15" t="n"/>
      <c r="F57" s="15">
        <f>IFERROR(VLOOKUP(D57, Config!A:B, 2, FALSE), "")</f>
        <v/>
      </c>
      <c r="G57" s="15">
        <f>IF(E57="", "", WORKDAY(E57, F57))</f>
        <v/>
      </c>
      <c r="H57" s="15" t="n"/>
      <c r="I57" s="15" t="n"/>
      <c r="J57" s="16" t="n"/>
    </row>
    <row r="58">
      <c r="A58" s="15" t="n"/>
      <c r="B58" s="16" t="n"/>
      <c r="C58" s="16" t="n"/>
      <c r="D58" s="15" t="n"/>
      <c r="E58" s="15" t="n"/>
      <c r="F58" s="15">
        <f>IFERROR(VLOOKUP(D58, Config!A:B, 2, FALSE), "")</f>
        <v/>
      </c>
      <c r="G58" s="15">
        <f>IF(E58="", "", WORKDAY(E58, F58))</f>
        <v/>
      </c>
      <c r="H58" s="15" t="n"/>
      <c r="I58" s="15" t="n"/>
      <c r="J58" s="16" t="n"/>
    </row>
    <row r="59">
      <c r="A59" s="15" t="n"/>
      <c r="B59" s="16" t="n"/>
      <c r="C59" s="16" t="n"/>
      <c r="D59" s="15" t="n"/>
      <c r="E59" s="15" t="n"/>
      <c r="F59" s="15">
        <f>IFERROR(VLOOKUP(D59, Config!A:B, 2, FALSE), "")</f>
        <v/>
      </c>
      <c r="G59" s="15">
        <f>IF(E59="", "", WORKDAY(E59, F59))</f>
        <v/>
      </c>
      <c r="H59" s="15" t="n"/>
      <c r="I59" s="15" t="n"/>
      <c r="J59" s="16" t="n"/>
    </row>
    <row r="60">
      <c r="A60" s="15" t="n"/>
      <c r="B60" s="16" t="n"/>
      <c r="C60" s="16" t="n"/>
      <c r="D60" s="15" t="n"/>
      <c r="E60" s="15" t="n"/>
      <c r="F60" s="15">
        <f>IFERROR(VLOOKUP(D60, Config!A:B, 2, FALSE), "")</f>
        <v/>
      </c>
      <c r="G60" s="15">
        <f>IF(E60="", "", WORKDAY(E60, F60))</f>
        <v/>
      </c>
      <c r="H60" s="15" t="n"/>
      <c r="I60" s="15" t="n"/>
      <c r="J60" s="16" t="n"/>
    </row>
    <row r="61">
      <c r="A61" s="15" t="n"/>
      <c r="B61" s="16" t="n"/>
      <c r="C61" s="16" t="n"/>
      <c r="D61" s="15" t="n"/>
      <c r="E61" s="15" t="n"/>
      <c r="F61" s="15">
        <f>IFERROR(VLOOKUP(D61, Config!A:B, 2, FALSE), "")</f>
        <v/>
      </c>
      <c r="G61" s="15">
        <f>IF(E61="", "", WORKDAY(E61, F61))</f>
        <v/>
      </c>
      <c r="H61" s="15" t="n"/>
      <c r="I61" s="15" t="n"/>
      <c r="J61" s="16" t="n"/>
    </row>
    <row r="62">
      <c r="A62" s="15" t="n"/>
      <c r="B62" s="16" t="n"/>
      <c r="C62" s="16" t="n"/>
      <c r="D62" s="15" t="n"/>
      <c r="E62" s="15" t="n"/>
      <c r="F62" s="15">
        <f>IFERROR(VLOOKUP(D62, Config!A:B, 2, FALSE), "")</f>
        <v/>
      </c>
      <c r="G62" s="15">
        <f>IF(E62="", "", WORKDAY(E62, F62))</f>
        <v/>
      </c>
      <c r="H62" s="15" t="n"/>
      <c r="I62" s="15" t="n"/>
      <c r="J62" s="16" t="n"/>
    </row>
    <row r="63">
      <c r="A63" s="15" t="n"/>
      <c r="B63" s="16" t="n"/>
      <c r="C63" s="16" t="n"/>
      <c r="D63" s="15" t="n"/>
      <c r="E63" s="15" t="n"/>
      <c r="F63" s="15">
        <f>IFERROR(VLOOKUP(D63, Config!A:B, 2, FALSE), "")</f>
        <v/>
      </c>
      <c r="G63" s="15">
        <f>IF(E63="", "", WORKDAY(E63, F63))</f>
        <v/>
      </c>
      <c r="H63" s="15" t="n"/>
      <c r="I63" s="15" t="n"/>
      <c r="J63" s="16" t="n"/>
    </row>
    <row r="64">
      <c r="A64" s="15" t="n"/>
      <c r="B64" s="16" t="n"/>
      <c r="C64" s="16" t="n"/>
      <c r="D64" s="15" t="n"/>
      <c r="E64" s="15" t="n"/>
      <c r="F64" s="15">
        <f>IFERROR(VLOOKUP(D64, Config!A:B, 2, FALSE), "")</f>
        <v/>
      </c>
      <c r="G64" s="15">
        <f>IF(E64="", "", WORKDAY(E64, F64))</f>
        <v/>
      </c>
      <c r="H64" s="15" t="n"/>
      <c r="I64" s="15" t="n"/>
      <c r="J64" s="16" t="n"/>
    </row>
    <row r="65">
      <c r="A65" s="15" t="n"/>
      <c r="B65" s="16" t="n"/>
      <c r="C65" s="16" t="n"/>
      <c r="D65" s="15" t="n"/>
      <c r="E65" s="15" t="n"/>
      <c r="F65" s="15">
        <f>IFERROR(VLOOKUP(D65, Config!A:B, 2, FALSE), "")</f>
        <v/>
      </c>
      <c r="G65" s="15">
        <f>IF(E65="", "", WORKDAY(E65, F65))</f>
        <v/>
      </c>
      <c r="H65" s="15" t="n"/>
      <c r="I65" s="15" t="n"/>
      <c r="J65" s="16" t="n"/>
    </row>
    <row r="66">
      <c r="A66" s="15" t="n"/>
      <c r="B66" s="16" t="n"/>
      <c r="C66" s="16" t="n"/>
      <c r="D66" s="15" t="n"/>
      <c r="E66" s="15" t="n"/>
      <c r="F66" s="15">
        <f>IFERROR(VLOOKUP(D66, Config!A:B, 2, FALSE), "")</f>
        <v/>
      </c>
      <c r="G66" s="15">
        <f>IF(E66="", "", WORKDAY(E66, F66))</f>
        <v/>
      </c>
      <c r="H66" s="15" t="n"/>
      <c r="I66" s="15" t="n"/>
      <c r="J66" s="16" t="n"/>
    </row>
    <row r="67">
      <c r="A67" s="15" t="n"/>
      <c r="B67" s="16" t="n"/>
      <c r="C67" s="16" t="n"/>
      <c r="D67" s="15" t="n"/>
      <c r="E67" s="15" t="n"/>
      <c r="F67" s="15">
        <f>IFERROR(VLOOKUP(D67, Config!A:B, 2, FALSE), "")</f>
        <v/>
      </c>
      <c r="G67" s="15">
        <f>IF(E67="", "", WORKDAY(E67, F67))</f>
        <v/>
      </c>
      <c r="H67" s="15" t="n"/>
      <c r="I67" s="15" t="n"/>
      <c r="J67" s="16" t="n"/>
    </row>
    <row r="68">
      <c r="A68" s="15" t="n"/>
      <c r="B68" s="16" t="n"/>
      <c r="C68" s="16" t="n"/>
      <c r="D68" s="15" t="n"/>
      <c r="E68" s="15" t="n"/>
      <c r="F68" s="15">
        <f>IFERROR(VLOOKUP(D68, Config!A:B, 2, FALSE), "")</f>
        <v/>
      </c>
      <c r="G68" s="15">
        <f>IF(E68="", "", WORKDAY(E68, F68))</f>
        <v/>
      </c>
      <c r="H68" s="15" t="n"/>
      <c r="I68" s="15" t="n"/>
      <c r="J68" s="16" t="n"/>
    </row>
    <row r="69">
      <c r="A69" s="15" t="n"/>
      <c r="B69" s="16" t="n"/>
      <c r="C69" s="16" t="n"/>
      <c r="D69" s="15" t="n"/>
      <c r="E69" s="15" t="n"/>
      <c r="F69" s="15">
        <f>IFERROR(VLOOKUP(D69, Config!A:B, 2, FALSE), "")</f>
        <v/>
      </c>
      <c r="G69" s="15">
        <f>IF(E69="", "", WORKDAY(E69, F69))</f>
        <v/>
      </c>
      <c r="H69" s="15" t="n"/>
      <c r="I69" s="15" t="n"/>
      <c r="J69" s="16" t="n"/>
    </row>
    <row r="70">
      <c r="A70" s="15" t="n"/>
      <c r="B70" s="16" t="n"/>
      <c r="C70" s="16" t="n"/>
      <c r="D70" s="15" t="n"/>
      <c r="E70" s="15" t="n"/>
      <c r="F70" s="15">
        <f>IFERROR(VLOOKUP(D70, Config!A:B, 2, FALSE), "")</f>
        <v/>
      </c>
      <c r="G70" s="15">
        <f>IF(E70="", "", WORKDAY(E70, F70))</f>
        <v/>
      </c>
      <c r="H70" s="15" t="n"/>
      <c r="I70" s="15" t="n"/>
      <c r="J70" s="16" t="n"/>
    </row>
    <row r="71">
      <c r="A71" s="15" t="n"/>
      <c r="B71" s="16" t="n"/>
      <c r="C71" s="16" t="n"/>
      <c r="D71" s="15" t="n"/>
      <c r="E71" s="15" t="n"/>
      <c r="F71" s="15">
        <f>IFERROR(VLOOKUP(D71, Config!A:B, 2, FALSE), "")</f>
        <v/>
      </c>
      <c r="G71" s="15">
        <f>IF(E71="", "", WORKDAY(E71, F71))</f>
        <v/>
      </c>
      <c r="H71" s="15" t="n"/>
      <c r="I71" s="15" t="n"/>
      <c r="J71" s="16" t="n"/>
    </row>
    <row r="72">
      <c r="A72" s="15" t="n"/>
      <c r="B72" s="16" t="n"/>
      <c r="C72" s="16" t="n"/>
      <c r="D72" s="15" t="n"/>
      <c r="E72" s="15" t="n"/>
      <c r="F72" s="15">
        <f>IFERROR(VLOOKUP(D72, Config!A:B, 2, FALSE), "")</f>
        <v/>
      </c>
      <c r="G72" s="15">
        <f>IF(E72="", "", WORKDAY(E72, F72))</f>
        <v/>
      </c>
      <c r="H72" s="15" t="n"/>
      <c r="I72" s="15" t="n"/>
      <c r="J72" s="16" t="n"/>
    </row>
    <row r="73">
      <c r="A73" s="15" t="n"/>
      <c r="B73" s="16" t="n"/>
      <c r="C73" s="16" t="n"/>
      <c r="D73" s="15" t="n"/>
      <c r="E73" s="15" t="n"/>
      <c r="F73" s="15">
        <f>IFERROR(VLOOKUP(D73, Config!A:B, 2, FALSE), "")</f>
        <v/>
      </c>
      <c r="G73" s="15">
        <f>IF(E73="", "", WORKDAY(E73, F73))</f>
        <v/>
      </c>
      <c r="H73" s="15" t="n"/>
      <c r="I73" s="15" t="n"/>
      <c r="J73" s="16" t="n"/>
    </row>
    <row r="74">
      <c r="A74" s="15" t="n"/>
      <c r="B74" s="16" t="n"/>
      <c r="C74" s="16" t="n"/>
      <c r="D74" s="15" t="n"/>
      <c r="E74" s="15" t="n"/>
      <c r="F74" s="15">
        <f>IFERROR(VLOOKUP(D74, Config!A:B, 2, FALSE), "")</f>
        <v/>
      </c>
      <c r="G74" s="15">
        <f>IF(E74="", "", WORKDAY(E74, F74))</f>
        <v/>
      </c>
      <c r="H74" s="15" t="n"/>
      <c r="I74" s="15" t="n"/>
      <c r="J74" s="16" t="n"/>
    </row>
    <row r="75">
      <c r="A75" s="15" t="n"/>
      <c r="B75" s="16" t="n"/>
      <c r="C75" s="16" t="n"/>
      <c r="D75" s="15" t="n"/>
      <c r="E75" s="15" t="n"/>
      <c r="F75" s="15">
        <f>IFERROR(VLOOKUP(D75, Config!A:B, 2, FALSE), "")</f>
        <v/>
      </c>
      <c r="G75" s="15">
        <f>IF(E75="", "", WORKDAY(E75, F75))</f>
        <v/>
      </c>
      <c r="H75" s="15" t="n"/>
      <c r="I75" s="15" t="n"/>
      <c r="J75" s="16" t="n"/>
    </row>
    <row r="76">
      <c r="A76" s="15" t="n"/>
      <c r="B76" s="16" t="n"/>
      <c r="C76" s="16" t="n"/>
      <c r="D76" s="15" t="n"/>
      <c r="E76" s="15" t="n"/>
      <c r="F76" s="15">
        <f>IFERROR(VLOOKUP(D76, Config!A:B, 2, FALSE), "")</f>
        <v/>
      </c>
      <c r="G76" s="15">
        <f>IF(E76="", "", WORKDAY(E76, F76))</f>
        <v/>
      </c>
      <c r="H76" s="15" t="n"/>
      <c r="I76" s="15" t="n"/>
      <c r="J76" s="16" t="n"/>
    </row>
    <row r="77">
      <c r="A77" s="15" t="n"/>
      <c r="B77" s="16" t="n"/>
      <c r="C77" s="16" t="n"/>
      <c r="D77" s="15" t="n"/>
      <c r="E77" s="15" t="n"/>
      <c r="F77" s="15">
        <f>IFERROR(VLOOKUP(D77, Config!A:B, 2, FALSE), "")</f>
        <v/>
      </c>
      <c r="G77" s="15">
        <f>IF(E77="", "", WORKDAY(E77, F77))</f>
        <v/>
      </c>
      <c r="H77" s="15" t="n"/>
      <c r="I77" s="15" t="n"/>
      <c r="J77" s="16" t="n"/>
    </row>
    <row r="78">
      <c r="A78" s="15" t="n"/>
      <c r="B78" s="16" t="n"/>
      <c r="C78" s="16" t="n"/>
      <c r="D78" s="15" t="n"/>
      <c r="E78" s="15" t="n"/>
      <c r="F78" s="15">
        <f>IFERROR(VLOOKUP(D78, Config!A:B, 2, FALSE), "")</f>
        <v/>
      </c>
      <c r="G78" s="15">
        <f>IF(E78="", "", WORKDAY(E78, F78))</f>
        <v/>
      </c>
      <c r="H78" s="15" t="n"/>
      <c r="I78" s="15" t="n"/>
      <c r="J78" s="16" t="n"/>
    </row>
    <row r="79">
      <c r="A79" s="15" t="n"/>
      <c r="B79" s="16" t="n"/>
      <c r="C79" s="16" t="n"/>
      <c r="D79" s="15" t="n"/>
      <c r="E79" s="15" t="n"/>
      <c r="F79" s="15">
        <f>IFERROR(VLOOKUP(D79, Config!A:B, 2, FALSE), "")</f>
        <v/>
      </c>
      <c r="G79" s="15">
        <f>IF(E79="", "", WORKDAY(E79, F79))</f>
        <v/>
      </c>
      <c r="H79" s="15" t="n"/>
      <c r="I79" s="15" t="n"/>
      <c r="J79" s="16" t="n"/>
    </row>
    <row r="80">
      <c r="A80" s="15" t="n"/>
      <c r="B80" s="16" t="n"/>
      <c r="C80" s="16" t="n"/>
      <c r="D80" s="15" t="n"/>
      <c r="E80" s="15" t="n"/>
      <c r="F80" s="15">
        <f>IFERROR(VLOOKUP(D80, Config!A:B, 2, FALSE), "")</f>
        <v/>
      </c>
      <c r="G80" s="15">
        <f>IF(E80="", "", WORKDAY(E80, F80))</f>
        <v/>
      </c>
      <c r="H80" s="15" t="n"/>
      <c r="I80" s="15" t="n"/>
      <c r="J80" s="16" t="n"/>
    </row>
    <row r="81">
      <c r="A81" s="15" t="n"/>
      <c r="B81" s="16" t="n"/>
      <c r="C81" s="16" t="n"/>
      <c r="D81" s="15" t="n"/>
      <c r="E81" s="15" t="n"/>
      <c r="F81" s="15">
        <f>IFERROR(VLOOKUP(D81, Config!A:B, 2, FALSE), "")</f>
        <v/>
      </c>
      <c r="G81" s="15">
        <f>IF(E81="", "", WORKDAY(E81, F81))</f>
        <v/>
      </c>
      <c r="H81" s="15" t="n"/>
      <c r="I81" s="15" t="n"/>
      <c r="J81" s="16" t="n"/>
    </row>
    <row r="82">
      <c r="A82" s="15" t="n"/>
      <c r="B82" s="16" t="n"/>
      <c r="C82" s="16" t="n"/>
      <c r="D82" s="15" t="n"/>
      <c r="E82" s="15" t="n"/>
      <c r="F82" s="15">
        <f>IFERROR(VLOOKUP(D82, Config!A:B, 2, FALSE), "")</f>
        <v/>
      </c>
      <c r="G82" s="15">
        <f>IF(E82="", "", WORKDAY(E82, F82))</f>
        <v/>
      </c>
      <c r="H82" s="15" t="n"/>
      <c r="I82" s="15" t="n"/>
      <c r="J82" s="16" t="n"/>
    </row>
    <row r="83">
      <c r="A83" s="15" t="n"/>
      <c r="B83" s="16" t="n"/>
      <c r="C83" s="16" t="n"/>
      <c r="D83" s="15" t="n"/>
      <c r="E83" s="15" t="n"/>
      <c r="F83" s="15">
        <f>IFERROR(VLOOKUP(D83, Config!A:B, 2, FALSE), "")</f>
        <v/>
      </c>
      <c r="G83" s="15">
        <f>IF(E83="", "", WORKDAY(E83, F83))</f>
        <v/>
      </c>
      <c r="H83" s="15" t="n"/>
      <c r="I83" s="15" t="n"/>
      <c r="J83" s="16" t="n"/>
    </row>
    <row r="84">
      <c r="A84" s="15" t="n"/>
      <c r="B84" s="16" t="n"/>
      <c r="C84" s="16" t="n"/>
      <c r="D84" s="15" t="n"/>
      <c r="E84" s="15" t="n"/>
      <c r="F84" s="15">
        <f>IFERROR(VLOOKUP(D84, Config!A:B, 2, FALSE), "")</f>
        <v/>
      </c>
      <c r="G84" s="15">
        <f>IF(E84="", "", WORKDAY(E84, F84))</f>
        <v/>
      </c>
      <c r="H84" s="15" t="n"/>
      <c r="I84" s="15" t="n"/>
      <c r="J84" s="16" t="n"/>
    </row>
    <row r="85">
      <c r="A85" s="15" t="n"/>
      <c r="B85" s="16" t="n"/>
      <c r="C85" s="16" t="n"/>
      <c r="D85" s="15" t="n"/>
      <c r="E85" s="15" t="n"/>
      <c r="F85" s="15">
        <f>IFERROR(VLOOKUP(D85, Config!A:B, 2, FALSE), "")</f>
        <v/>
      </c>
      <c r="G85" s="15">
        <f>IF(E85="", "", WORKDAY(E85, F85))</f>
        <v/>
      </c>
      <c r="H85" s="15" t="n"/>
      <c r="I85" s="15" t="n"/>
      <c r="J85" s="16" t="n"/>
    </row>
    <row r="86">
      <c r="A86" s="15" t="n"/>
      <c r="B86" s="16" t="n"/>
      <c r="C86" s="16" t="n"/>
      <c r="D86" s="15" t="n"/>
      <c r="E86" s="15" t="n"/>
      <c r="F86" s="15">
        <f>IFERROR(VLOOKUP(D86, Config!A:B, 2, FALSE), "")</f>
        <v/>
      </c>
      <c r="G86" s="15">
        <f>IF(E86="", "", WORKDAY(E86, F86))</f>
        <v/>
      </c>
      <c r="H86" s="15" t="n"/>
      <c r="I86" s="15" t="n"/>
      <c r="J86" s="16" t="n"/>
    </row>
    <row r="87">
      <c r="A87" s="15" t="n"/>
      <c r="B87" s="16" t="n"/>
      <c r="C87" s="16" t="n"/>
      <c r="D87" s="15" t="n"/>
      <c r="E87" s="15" t="n"/>
      <c r="F87" s="15">
        <f>IFERROR(VLOOKUP(D87, Config!A:B, 2, FALSE), "")</f>
        <v/>
      </c>
      <c r="G87" s="15">
        <f>IF(E87="", "", WORKDAY(E87, F87))</f>
        <v/>
      </c>
      <c r="H87" s="15" t="n"/>
      <c r="I87" s="15" t="n"/>
      <c r="J87" s="16" t="n"/>
    </row>
    <row r="88">
      <c r="A88" s="15" t="n"/>
      <c r="B88" s="16" t="n"/>
      <c r="C88" s="16" t="n"/>
      <c r="D88" s="15" t="n"/>
      <c r="E88" s="15" t="n"/>
      <c r="F88" s="15">
        <f>IFERROR(VLOOKUP(D88, Config!A:B, 2, FALSE), "")</f>
        <v/>
      </c>
      <c r="G88" s="15">
        <f>IF(E88="", "", WORKDAY(E88, F88))</f>
        <v/>
      </c>
      <c r="H88" s="15" t="n"/>
      <c r="I88" s="15" t="n"/>
      <c r="J88" s="16" t="n"/>
    </row>
    <row r="89">
      <c r="A89" s="15" t="n"/>
      <c r="B89" s="16" t="n"/>
      <c r="C89" s="16" t="n"/>
      <c r="D89" s="15" t="n"/>
      <c r="E89" s="15" t="n"/>
      <c r="F89" s="15">
        <f>IFERROR(VLOOKUP(D89, Config!A:B, 2, FALSE), "")</f>
        <v/>
      </c>
      <c r="G89" s="15">
        <f>IF(E89="", "", WORKDAY(E89, F89))</f>
        <v/>
      </c>
      <c r="H89" s="15" t="n"/>
      <c r="I89" s="15" t="n"/>
      <c r="J89" s="16" t="n"/>
    </row>
    <row r="90">
      <c r="A90" s="15" t="n"/>
      <c r="B90" s="16" t="n"/>
      <c r="C90" s="16" t="n"/>
      <c r="D90" s="15" t="n"/>
      <c r="E90" s="15" t="n"/>
      <c r="F90" s="15">
        <f>IFERROR(VLOOKUP(D90, Config!A:B, 2, FALSE), "")</f>
        <v/>
      </c>
      <c r="G90" s="15">
        <f>IF(E90="", "", WORKDAY(E90, F90))</f>
        <v/>
      </c>
      <c r="H90" s="15" t="n"/>
      <c r="I90" s="15" t="n"/>
      <c r="J90" s="16" t="n"/>
    </row>
    <row r="91">
      <c r="A91" s="15" t="n"/>
      <c r="B91" s="16" t="n"/>
      <c r="C91" s="16" t="n"/>
      <c r="D91" s="15" t="n"/>
      <c r="E91" s="15" t="n"/>
      <c r="F91" s="15">
        <f>IFERROR(VLOOKUP(D91, Config!A:B, 2, FALSE), "")</f>
        <v/>
      </c>
      <c r="G91" s="15">
        <f>IF(E91="", "", WORKDAY(E91, F91))</f>
        <v/>
      </c>
      <c r="H91" s="15" t="n"/>
      <c r="I91" s="15" t="n"/>
      <c r="J91" s="16" t="n"/>
    </row>
    <row r="92">
      <c r="A92" s="15" t="n"/>
      <c r="B92" s="16" t="n"/>
      <c r="C92" s="16" t="n"/>
      <c r="D92" s="15" t="n"/>
      <c r="E92" s="15" t="n"/>
      <c r="F92" s="15">
        <f>IFERROR(VLOOKUP(D92, Config!A:B, 2, FALSE), "")</f>
        <v/>
      </c>
      <c r="G92" s="15">
        <f>IF(E92="", "", WORKDAY(E92, F92))</f>
        <v/>
      </c>
      <c r="H92" s="15" t="n"/>
      <c r="I92" s="15" t="n"/>
      <c r="J92" s="16" t="n"/>
    </row>
    <row r="93">
      <c r="A93" s="15" t="n"/>
      <c r="B93" s="16" t="n"/>
      <c r="C93" s="16" t="n"/>
      <c r="D93" s="15" t="n"/>
      <c r="E93" s="15" t="n"/>
      <c r="F93" s="15">
        <f>IFERROR(VLOOKUP(D93, Config!A:B, 2, FALSE), "")</f>
        <v/>
      </c>
      <c r="G93" s="15">
        <f>IF(E93="", "", WORKDAY(E93, F93))</f>
        <v/>
      </c>
      <c r="H93" s="15" t="n"/>
      <c r="I93" s="15" t="n"/>
      <c r="J93" s="16" t="n"/>
    </row>
    <row r="94">
      <c r="A94" s="15" t="n"/>
      <c r="B94" s="16" t="n"/>
      <c r="C94" s="16" t="n"/>
      <c r="D94" s="15" t="n"/>
      <c r="E94" s="15" t="n"/>
      <c r="F94" s="15">
        <f>IFERROR(VLOOKUP(D94, Config!A:B, 2, FALSE), "")</f>
        <v/>
      </c>
      <c r="G94" s="15">
        <f>IF(E94="", "", WORKDAY(E94, F94))</f>
        <v/>
      </c>
      <c r="H94" s="15" t="n"/>
      <c r="I94" s="15" t="n"/>
      <c r="J94" s="16" t="n"/>
    </row>
    <row r="95">
      <c r="A95" s="15" t="n"/>
      <c r="B95" s="16" t="n"/>
      <c r="C95" s="16" t="n"/>
      <c r="D95" s="15" t="n"/>
      <c r="E95" s="15" t="n"/>
      <c r="F95" s="15">
        <f>IFERROR(VLOOKUP(D95, Config!A:B, 2, FALSE), "")</f>
        <v/>
      </c>
      <c r="G95" s="15">
        <f>IF(E95="", "", WORKDAY(E95, F95))</f>
        <v/>
      </c>
      <c r="H95" s="15" t="n"/>
      <c r="I95" s="15" t="n"/>
      <c r="J95" s="16" t="n"/>
    </row>
    <row r="96">
      <c r="A96" s="15" t="n"/>
      <c r="B96" s="16" t="n"/>
      <c r="C96" s="16" t="n"/>
      <c r="D96" s="15" t="n"/>
      <c r="E96" s="15" t="n"/>
      <c r="F96" s="15">
        <f>IFERROR(VLOOKUP(D96, Config!A:B, 2, FALSE), "")</f>
        <v/>
      </c>
      <c r="G96" s="15">
        <f>IF(E96="", "", WORKDAY(E96, F96))</f>
        <v/>
      </c>
      <c r="H96" s="15" t="n"/>
      <c r="I96" s="15" t="n"/>
      <c r="J96" s="16" t="n"/>
    </row>
    <row r="97">
      <c r="A97" s="15" t="n"/>
      <c r="B97" s="16" t="n"/>
      <c r="C97" s="16" t="n"/>
      <c r="D97" s="15" t="n"/>
      <c r="E97" s="15" t="n"/>
      <c r="F97" s="15">
        <f>IFERROR(VLOOKUP(D97, Config!A:B, 2, FALSE), "")</f>
        <v/>
      </c>
      <c r="G97" s="15">
        <f>IF(E97="", "", WORKDAY(E97, F97))</f>
        <v/>
      </c>
      <c r="H97" s="15" t="n"/>
      <c r="I97" s="15" t="n"/>
      <c r="J97" s="16" t="n"/>
    </row>
    <row r="98">
      <c r="A98" s="15" t="n"/>
      <c r="B98" s="16" t="n"/>
      <c r="C98" s="16" t="n"/>
      <c r="D98" s="15" t="n"/>
      <c r="E98" s="15" t="n"/>
      <c r="F98" s="15">
        <f>IFERROR(VLOOKUP(D98, Config!A:B, 2, FALSE), "")</f>
        <v/>
      </c>
      <c r="G98" s="15">
        <f>IF(E98="", "", WORKDAY(E98, F98))</f>
        <v/>
      </c>
      <c r="H98" s="15" t="n"/>
      <c r="I98" s="15" t="n"/>
      <c r="J98" s="16" t="n"/>
    </row>
    <row r="99">
      <c r="A99" s="15" t="n"/>
      <c r="B99" s="16" t="n"/>
      <c r="C99" s="16" t="n"/>
      <c r="D99" s="15" t="n"/>
      <c r="E99" s="15" t="n"/>
      <c r="F99" s="15">
        <f>IFERROR(VLOOKUP(D99, Config!A:B, 2, FALSE), "")</f>
        <v/>
      </c>
      <c r="G99" s="15">
        <f>IF(E99="", "", WORKDAY(E99, F99))</f>
        <v/>
      </c>
      <c r="H99" s="15" t="n"/>
      <c r="I99" s="15" t="n"/>
      <c r="J99" s="16" t="n"/>
    </row>
    <row r="100">
      <c r="A100" s="15" t="n"/>
      <c r="B100" s="16" t="n"/>
      <c r="C100" s="16" t="n"/>
      <c r="D100" s="15" t="n"/>
      <c r="E100" s="15" t="n"/>
      <c r="F100" s="15">
        <f>IFERROR(VLOOKUP(D100, Config!A:B, 2, FALSE), "")</f>
        <v/>
      </c>
      <c r="G100" s="15">
        <f>IF(E100="", "", WORKDAY(E100, F100))</f>
        <v/>
      </c>
      <c r="H100" s="15" t="n"/>
      <c r="I100" s="15" t="n"/>
      <c r="J100" s="16" t="n"/>
    </row>
  </sheetData>
  <conditionalFormatting sqref="D2:D1000">
    <cfRule type="cellIs" priority="1" operator="equal" dxfId="3">
      <formula>"Baixa"</formula>
    </cfRule>
    <cfRule type="cellIs" priority="2" operator="equal" dxfId="4">
      <formula>"Média"</formula>
    </cfRule>
    <cfRule type="cellIs" priority="3" operator="equal" dxfId="5">
      <formula>"Alta"</formula>
    </cfRule>
  </conditionalFormatting>
  <conditionalFormatting sqref="H2:H1000">
    <cfRule type="cellIs" priority="4" operator="equal" dxfId="3">
      <formula>"Finalizada"</formula>
    </cfRule>
  </conditionalFormatting>
  <dataValidations count="2">
    <dataValidation sqref="D2:D1000" showDropDown="1" showInputMessage="0" showErrorMessage="0" allowBlank="0" type="list">
      <formula1>"Baixa,Média,Alta"</formula1>
    </dataValidation>
    <dataValidation sqref="H2:H1000" showDropDown="1" showInputMessage="0" showErrorMessage="0" allowBlank="0" type="list">
      <formula1>"Pendente,Em Andamento,Finalizada"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25" customWidth="1" min="10" max="10"/>
  </cols>
  <sheetData>
    <row r="1">
      <c r="A1" s="14" t="inlineStr">
        <is>
          <t>ID</t>
        </is>
      </c>
      <c r="B1" s="14" t="inlineStr">
        <is>
          <t>Cliente</t>
        </is>
      </c>
      <c r="C1" s="14" t="inlineStr">
        <is>
          <t>Tipo de Ação</t>
        </is>
      </c>
      <c r="D1" s="14" t="inlineStr">
        <is>
          <t>Complexidade</t>
        </is>
      </c>
      <c r="E1" s="14" t="inlineStr">
        <is>
          <t>Data Envio Doc</t>
        </is>
      </c>
      <c r="F1" s="14" t="inlineStr">
        <is>
          <t>Prazo (Dias)</t>
        </is>
      </c>
      <c r="G1" s="14" t="inlineStr">
        <is>
          <t>Prazo Fatal</t>
        </is>
      </c>
      <c r="H1" s="14" t="inlineStr">
        <is>
          <t>Status</t>
        </is>
      </c>
      <c r="I1" s="14" t="inlineStr">
        <is>
          <t>Data Protocolo</t>
        </is>
      </c>
      <c r="J1" s="14" t="inlineStr">
        <is>
          <t>Advogado Responsável</t>
        </is>
      </c>
    </row>
    <row r="2">
      <c r="A2" s="15" t="n"/>
      <c r="B2" s="16" t="n"/>
      <c r="C2" s="16" t="n"/>
      <c r="D2" s="15" t="n"/>
      <c r="E2" s="15" t="n"/>
      <c r="F2" s="15">
        <f>IFERROR(VLOOKUP(D2, Config!A:B, 2, FALSE), "")</f>
        <v/>
      </c>
      <c r="G2" s="15">
        <f>IF(E2="", "", WORKDAY(E2, F2))</f>
        <v/>
      </c>
      <c r="H2" s="15" t="n"/>
      <c r="I2" s="15" t="n"/>
      <c r="J2" s="16" t="n"/>
    </row>
    <row r="3">
      <c r="A3" s="15" t="n"/>
      <c r="B3" s="16" t="n"/>
      <c r="C3" s="16" t="n"/>
      <c r="D3" s="15" t="n"/>
      <c r="E3" s="15" t="n"/>
      <c r="F3" s="15">
        <f>IFERROR(VLOOKUP(D3, Config!A:B, 2, FALSE), "")</f>
        <v/>
      </c>
      <c r="G3" s="15">
        <f>IF(E3="", "", WORKDAY(E3, F3))</f>
        <v/>
      </c>
      <c r="H3" s="15" t="n"/>
      <c r="I3" s="15" t="n"/>
      <c r="J3" s="16" t="n"/>
    </row>
    <row r="4">
      <c r="A4" s="15" t="n"/>
      <c r="B4" s="16" t="n"/>
      <c r="C4" s="16" t="n"/>
      <c r="D4" s="15" t="n"/>
      <c r="E4" s="15" t="n"/>
      <c r="F4" s="15">
        <f>IFERROR(VLOOKUP(D4, Config!A:B, 2, FALSE), "")</f>
        <v/>
      </c>
      <c r="G4" s="15">
        <f>IF(E4="", "", WORKDAY(E4, F4))</f>
        <v/>
      </c>
      <c r="H4" s="15" t="n"/>
      <c r="I4" s="15" t="n"/>
      <c r="J4" s="16" t="n"/>
    </row>
    <row r="5">
      <c r="A5" s="15" t="n"/>
      <c r="B5" s="16" t="n"/>
      <c r="C5" s="16" t="n"/>
      <c r="D5" s="15" t="n"/>
      <c r="E5" s="15" t="n"/>
      <c r="F5" s="15">
        <f>IFERROR(VLOOKUP(D5, Config!A:B, 2, FALSE), "")</f>
        <v/>
      </c>
      <c r="G5" s="15">
        <f>IF(E5="", "", WORKDAY(E5, F5))</f>
        <v/>
      </c>
      <c r="H5" s="15" t="n"/>
      <c r="I5" s="15" t="n"/>
      <c r="J5" s="16" t="n"/>
    </row>
    <row r="6">
      <c r="A6" s="15" t="n"/>
      <c r="B6" s="16" t="n"/>
      <c r="C6" s="16" t="n"/>
      <c r="D6" s="15" t="n"/>
      <c r="E6" s="15" t="n"/>
      <c r="F6" s="15">
        <f>IFERROR(VLOOKUP(D6, Config!A:B, 2, FALSE), "")</f>
        <v/>
      </c>
      <c r="G6" s="15">
        <f>IF(E6="", "", WORKDAY(E6, F6))</f>
        <v/>
      </c>
      <c r="H6" s="15" t="n"/>
      <c r="I6" s="15" t="n"/>
      <c r="J6" s="16" t="n"/>
    </row>
    <row r="7">
      <c r="A7" s="15" t="n"/>
      <c r="B7" s="16" t="n"/>
      <c r="C7" s="16" t="n"/>
      <c r="D7" s="15" t="n"/>
      <c r="E7" s="15" t="n"/>
      <c r="F7" s="15">
        <f>IFERROR(VLOOKUP(D7, Config!A:B, 2, FALSE), "")</f>
        <v/>
      </c>
      <c r="G7" s="15">
        <f>IF(E7="", "", WORKDAY(E7, F7))</f>
        <v/>
      </c>
      <c r="H7" s="15" t="n"/>
      <c r="I7" s="15" t="n"/>
      <c r="J7" s="16" t="n"/>
    </row>
    <row r="8">
      <c r="A8" s="15" t="n"/>
      <c r="B8" s="16" t="n"/>
      <c r="C8" s="16" t="n"/>
      <c r="D8" s="15" t="n"/>
      <c r="E8" s="15" t="n"/>
      <c r="F8" s="15">
        <f>IFERROR(VLOOKUP(D8, Config!A:B, 2, FALSE), "")</f>
        <v/>
      </c>
      <c r="G8" s="15">
        <f>IF(E8="", "", WORKDAY(E8, F8))</f>
        <v/>
      </c>
      <c r="H8" s="15" t="n"/>
      <c r="I8" s="15" t="n"/>
      <c r="J8" s="16" t="n"/>
    </row>
    <row r="9">
      <c r="A9" s="15" t="n"/>
      <c r="B9" s="16" t="n"/>
      <c r="C9" s="16" t="n"/>
      <c r="D9" s="15" t="n"/>
      <c r="E9" s="15" t="n"/>
      <c r="F9" s="15">
        <f>IFERROR(VLOOKUP(D9, Config!A:B, 2, FALSE), "")</f>
        <v/>
      </c>
      <c r="G9" s="15">
        <f>IF(E9="", "", WORKDAY(E9, F9))</f>
        <v/>
      </c>
      <c r="H9" s="15" t="n"/>
      <c r="I9" s="15" t="n"/>
      <c r="J9" s="16" t="n"/>
    </row>
    <row r="10">
      <c r="A10" s="15" t="n"/>
      <c r="B10" s="16" t="n"/>
      <c r="C10" s="16" t="n"/>
      <c r="D10" s="15" t="n"/>
      <c r="E10" s="15" t="n"/>
      <c r="F10" s="15">
        <f>IFERROR(VLOOKUP(D10, Config!A:B, 2, FALSE), "")</f>
        <v/>
      </c>
      <c r="G10" s="15">
        <f>IF(E10="", "", WORKDAY(E10, F10))</f>
        <v/>
      </c>
      <c r="H10" s="15" t="n"/>
      <c r="I10" s="15" t="n"/>
      <c r="J10" s="16" t="n"/>
    </row>
    <row r="11">
      <c r="A11" s="15" t="n"/>
      <c r="B11" s="16" t="n"/>
      <c r="C11" s="16" t="n"/>
      <c r="D11" s="15" t="n"/>
      <c r="E11" s="15" t="n"/>
      <c r="F11" s="15">
        <f>IFERROR(VLOOKUP(D11, Config!A:B, 2, FALSE), "")</f>
        <v/>
      </c>
      <c r="G11" s="15">
        <f>IF(E11="", "", WORKDAY(E11, F11))</f>
        <v/>
      </c>
      <c r="H11" s="15" t="n"/>
      <c r="I11" s="15" t="n"/>
      <c r="J11" s="16" t="n"/>
    </row>
    <row r="12">
      <c r="A12" s="15" t="n"/>
      <c r="B12" s="16" t="n"/>
      <c r="C12" s="16" t="n"/>
      <c r="D12" s="15" t="n"/>
      <c r="E12" s="15" t="n"/>
      <c r="F12" s="15">
        <f>IFERROR(VLOOKUP(D12, Config!A:B, 2, FALSE), "")</f>
        <v/>
      </c>
      <c r="G12" s="15">
        <f>IF(E12="", "", WORKDAY(E12, F12))</f>
        <v/>
      </c>
      <c r="H12" s="15" t="n"/>
      <c r="I12" s="15" t="n"/>
      <c r="J12" s="16" t="n"/>
    </row>
    <row r="13">
      <c r="A13" s="15" t="n"/>
      <c r="B13" s="16" t="n"/>
      <c r="C13" s="16" t="n"/>
      <c r="D13" s="15" t="n"/>
      <c r="E13" s="15" t="n"/>
      <c r="F13" s="15">
        <f>IFERROR(VLOOKUP(D13, Config!A:B, 2, FALSE), "")</f>
        <v/>
      </c>
      <c r="G13" s="15">
        <f>IF(E13="", "", WORKDAY(E13, F13))</f>
        <v/>
      </c>
      <c r="H13" s="15" t="n"/>
      <c r="I13" s="15" t="n"/>
      <c r="J13" s="16" t="n"/>
    </row>
    <row r="14">
      <c r="A14" s="15" t="n"/>
      <c r="B14" s="16" t="n"/>
      <c r="C14" s="16" t="n"/>
      <c r="D14" s="15" t="n"/>
      <c r="E14" s="15" t="n"/>
      <c r="F14" s="15">
        <f>IFERROR(VLOOKUP(D14, Config!A:B, 2, FALSE), "")</f>
        <v/>
      </c>
      <c r="G14" s="15">
        <f>IF(E14="", "", WORKDAY(E14, F14))</f>
        <v/>
      </c>
      <c r="H14" s="15" t="n"/>
      <c r="I14" s="15" t="n"/>
      <c r="J14" s="16" t="n"/>
    </row>
    <row r="15">
      <c r="A15" s="15" t="n"/>
      <c r="B15" s="16" t="n"/>
      <c r="C15" s="16" t="n"/>
      <c r="D15" s="15" t="n"/>
      <c r="E15" s="15" t="n"/>
      <c r="F15" s="15">
        <f>IFERROR(VLOOKUP(D15, Config!A:B, 2, FALSE), "")</f>
        <v/>
      </c>
      <c r="G15" s="15">
        <f>IF(E15="", "", WORKDAY(E15, F15))</f>
        <v/>
      </c>
      <c r="H15" s="15" t="n"/>
      <c r="I15" s="15" t="n"/>
      <c r="J15" s="16" t="n"/>
    </row>
    <row r="16">
      <c r="A16" s="15" t="n"/>
      <c r="B16" s="16" t="n"/>
      <c r="C16" s="16" t="n"/>
      <c r="D16" s="15" t="n"/>
      <c r="E16" s="15" t="n"/>
      <c r="F16" s="15">
        <f>IFERROR(VLOOKUP(D16, Config!A:B, 2, FALSE), "")</f>
        <v/>
      </c>
      <c r="G16" s="15">
        <f>IF(E16="", "", WORKDAY(E16, F16))</f>
        <v/>
      </c>
      <c r="H16" s="15" t="n"/>
      <c r="I16" s="15" t="n"/>
      <c r="J16" s="16" t="n"/>
    </row>
    <row r="17">
      <c r="A17" s="15" t="n"/>
      <c r="B17" s="16" t="n"/>
      <c r="C17" s="16" t="n"/>
      <c r="D17" s="15" t="n"/>
      <c r="E17" s="15" t="n"/>
      <c r="F17" s="15">
        <f>IFERROR(VLOOKUP(D17, Config!A:B, 2, FALSE), "")</f>
        <v/>
      </c>
      <c r="G17" s="15">
        <f>IF(E17="", "", WORKDAY(E17, F17))</f>
        <v/>
      </c>
      <c r="H17" s="15" t="n"/>
      <c r="I17" s="15" t="n"/>
      <c r="J17" s="16" t="n"/>
    </row>
    <row r="18">
      <c r="A18" s="15" t="n"/>
      <c r="B18" s="16" t="n"/>
      <c r="C18" s="16" t="n"/>
      <c r="D18" s="15" t="n"/>
      <c r="E18" s="15" t="n"/>
      <c r="F18" s="15">
        <f>IFERROR(VLOOKUP(D18, Config!A:B, 2, FALSE), "")</f>
        <v/>
      </c>
      <c r="G18" s="15">
        <f>IF(E18="", "", WORKDAY(E18, F18))</f>
        <v/>
      </c>
      <c r="H18" s="15" t="n"/>
      <c r="I18" s="15" t="n"/>
      <c r="J18" s="16" t="n"/>
    </row>
    <row r="19">
      <c r="A19" s="15" t="n"/>
      <c r="B19" s="16" t="n"/>
      <c r="C19" s="16" t="n"/>
      <c r="D19" s="15" t="n"/>
      <c r="E19" s="15" t="n"/>
      <c r="F19" s="15">
        <f>IFERROR(VLOOKUP(D19, Config!A:B, 2, FALSE), "")</f>
        <v/>
      </c>
      <c r="G19" s="15">
        <f>IF(E19="", "", WORKDAY(E19, F19))</f>
        <v/>
      </c>
      <c r="H19" s="15" t="n"/>
      <c r="I19" s="15" t="n"/>
      <c r="J19" s="16" t="n"/>
    </row>
    <row r="20">
      <c r="A20" s="15" t="n"/>
      <c r="B20" s="16" t="n"/>
      <c r="C20" s="16" t="n"/>
      <c r="D20" s="15" t="n"/>
      <c r="E20" s="15" t="n"/>
      <c r="F20" s="15">
        <f>IFERROR(VLOOKUP(D20, Config!A:B, 2, FALSE), "")</f>
        <v/>
      </c>
      <c r="G20" s="15">
        <f>IF(E20="", "", WORKDAY(E20, F20))</f>
        <v/>
      </c>
      <c r="H20" s="15" t="n"/>
      <c r="I20" s="15" t="n"/>
      <c r="J20" s="16" t="n"/>
    </row>
    <row r="21">
      <c r="A21" s="15" t="n"/>
      <c r="B21" s="16" t="n"/>
      <c r="C21" s="16" t="n"/>
      <c r="D21" s="15" t="n"/>
      <c r="E21" s="15" t="n"/>
      <c r="F21" s="15">
        <f>IFERROR(VLOOKUP(D21, Config!A:B, 2, FALSE), "")</f>
        <v/>
      </c>
      <c r="G21" s="15">
        <f>IF(E21="", "", WORKDAY(E21, F21))</f>
        <v/>
      </c>
      <c r="H21" s="15" t="n"/>
      <c r="I21" s="15" t="n"/>
      <c r="J21" s="16" t="n"/>
    </row>
    <row r="22">
      <c r="A22" s="15" t="n"/>
      <c r="B22" s="16" t="n"/>
      <c r="C22" s="16" t="n"/>
      <c r="D22" s="15" t="n"/>
      <c r="E22" s="15" t="n"/>
      <c r="F22" s="15">
        <f>IFERROR(VLOOKUP(D22, Config!A:B, 2, FALSE), "")</f>
        <v/>
      </c>
      <c r="G22" s="15">
        <f>IF(E22="", "", WORKDAY(E22, F22))</f>
        <v/>
      </c>
      <c r="H22" s="15" t="n"/>
      <c r="I22" s="15" t="n"/>
      <c r="J22" s="16" t="n"/>
    </row>
    <row r="23">
      <c r="A23" s="15" t="n"/>
      <c r="B23" s="16" t="n"/>
      <c r="C23" s="16" t="n"/>
      <c r="D23" s="15" t="n"/>
      <c r="E23" s="15" t="n"/>
      <c r="F23" s="15">
        <f>IFERROR(VLOOKUP(D23, Config!A:B, 2, FALSE), "")</f>
        <v/>
      </c>
      <c r="G23" s="15">
        <f>IF(E23="", "", WORKDAY(E23, F23))</f>
        <v/>
      </c>
      <c r="H23" s="15" t="n"/>
      <c r="I23" s="15" t="n"/>
      <c r="J23" s="16" t="n"/>
    </row>
    <row r="24">
      <c r="A24" s="15" t="n"/>
      <c r="B24" s="16" t="n"/>
      <c r="C24" s="16" t="n"/>
      <c r="D24" s="15" t="n"/>
      <c r="E24" s="15" t="n"/>
      <c r="F24" s="15">
        <f>IFERROR(VLOOKUP(D24, Config!A:B, 2, FALSE), "")</f>
        <v/>
      </c>
      <c r="G24" s="15">
        <f>IF(E24="", "", WORKDAY(E24, F24))</f>
        <v/>
      </c>
      <c r="H24" s="15" t="n"/>
      <c r="I24" s="15" t="n"/>
      <c r="J24" s="16" t="n"/>
    </row>
    <row r="25">
      <c r="A25" s="15" t="n"/>
      <c r="B25" s="16" t="n"/>
      <c r="C25" s="16" t="n"/>
      <c r="D25" s="15" t="n"/>
      <c r="E25" s="15" t="n"/>
      <c r="F25" s="15">
        <f>IFERROR(VLOOKUP(D25, Config!A:B, 2, FALSE), "")</f>
        <v/>
      </c>
      <c r="G25" s="15">
        <f>IF(E25="", "", WORKDAY(E25, F25))</f>
        <v/>
      </c>
      <c r="H25" s="15" t="n"/>
      <c r="I25" s="15" t="n"/>
      <c r="J25" s="16" t="n"/>
    </row>
    <row r="26">
      <c r="A26" s="15" t="n"/>
      <c r="B26" s="16" t="n"/>
      <c r="C26" s="16" t="n"/>
      <c r="D26" s="15" t="n"/>
      <c r="E26" s="15" t="n"/>
      <c r="F26" s="15">
        <f>IFERROR(VLOOKUP(D26, Config!A:B, 2, FALSE), "")</f>
        <v/>
      </c>
      <c r="G26" s="15">
        <f>IF(E26="", "", WORKDAY(E26, F26))</f>
        <v/>
      </c>
      <c r="H26" s="15" t="n"/>
      <c r="I26" s="15" t="n"/>
      <c r="J26" s="16" t="n"/>
    </row>
    <row r="27">
      <c r="A27" s="15" t="n"/>
      <c r="B27" s="16" t="n"/>
      <c r="C27" s="16" t="n"/>
      <c r="D27" s="15" t="n"/>
      <c r="E27" s="15" t="n"/>
      <c r="F27" s="15">
        <f>IFERROR(VLOOKUP(D27, Config!A:B, 2, FALSE), "")</f>
        <v/>
      </c>
      <c r="G27" s="15">
        <f>IF(E27="", "", WORKDAY(E27, F27))</f>
        <v/>
      </c>
      <c r="H27" s="15" t="n"/>
      <c r="I27" s="15" t="n"/>
      <c r="J27" s="16" t="n"/>
    </row>
    <row r="28">
      <c r="A28" s="15" t="n"/>
      <c r="B28" s="16" t="n"/>
      <c r="C28" s="16" t="n"/>
      <c r="D28" s="15" t="n"/>
      <c r="E28" s="15" t="n"/>
      <c r="F28" s="15">
        <f>IFERROR(VLOOKUP(D28, Config!A:B, 2, FALSE), "")</f>
        <v/>
      </c>
      <c r="G28" s="15">
        <f>IF(E28="", "", WORKDAY(E28, F28))</f>
        <v/>
      </c>
      <c r="H28" s="15" t="n"/>
      <c r="I28" s="15" t="n"/>
      <c r="J28" s="16" t="n"/>
    </row>
    <row r="29">
      <c r="A29" s="15" t="n"/>
      <c r="B29" s="16" t="n"/>
      <c r="C29" s="16" t="n"/>
      <c r="D29" s="15" t="n"/>
      <c r="E29" s="15" t="n"/>
      <c r="F29" s="15">
        <f>IFERROR(VLOOKUP(D29, Config!A:B, 2, FALSE), "")</f>
        <v/>
      </c>
      <c r="G29" s="15">
        <f>IF(E29="", "", WORKDAY(E29, F29))</f>
        <v/>
      </c>
      <c r="H29" s="15" t="n"/>
      <c r="I29" s="15" t="n"/>
      <c r="J29" s="16" t="n"/>
    </row>
    <row r="30">
      <c r="A30" s="15" t="n"/>
      <c r="B30" s="16" t="n"/>
      <c r="C30" s="16" t="n"/>
      <c r="D30" s="15" t="n"/>
      <c r="E30" s="15" t="n"/>
      <c r="F30" s="15">
        <f>IFERROR(VLOOKUP(D30, Config!A:B, 2, FALSE), "")</f>
        <v/>
      </c>
      <c r="G30" s="15">
        <f>IF(E30="", "", WORKDAY(E30, F30))</f>
        <v/>
      </c>
      <c r="H30" s="15" t="n"/>
      <c r="I30" s="15" t="n"/>
      <c r="J30" s="16" t="n"/>
    </row>
    <row r="31">
      <c r="A31" s="15" t="n"/>
      <c r="B31" s="16" t="n"/>
      <c r="C31" s="16" t="n"/>
      <c r="D31" s="15" t="n"/>
      <c r="E31" s="15" t="n"/>
      <c r="F31" s="15">
        <f>IFERROR(VLOOKUP(D31, Config!A:B, 2, FALSE), "")</f>
        <v/>
      </c>
      <c r="G31" s="15">
        <f>IF(E31="", "", WORKDAY(E31, F31))</f>
        <v/>
      </c>
      <c r="H31" s="15" t="n"/>
      <c r="I31" s="15" t="n"/>
      <c r="J31" s="16" t="n"/>
    </row>
    <row r="32">
      <c r="A32" s="15" t="n"/>
      <c r="B32" s="16" t="n"/>
      <c r="C32" s="16" t="n"/>
      <c r="D32" s="15" t="n"/>
      <c r="E32" s="15" t="n"/>
      <c r="F32" s="15">
        <f>IFERROR(VLOOKUP(D32, Config!A:B, 2, FALSE), "")</f>
        <v/>
      </c>
      <c r="G32" s="15">
        <f>IF(E32="", "", WORKDAY(E32, F32))</f>
        <v/>
      </c>
      <c r="H32" s="15" t="n"/>
      <c r="I32" s="15" t="n"/>
      <c r="J32" s="16" t="n"/>
    </row>
    <row r="33">
      <c r="A33" s="15" t="n"/>
      <c r="B33" s="16" t="n"/>
      <c r="C33" s="16" t="n"/>
      <c r="D33" s="15" t="n"/>
      <c r="E33" s="15" t="n"/>
      <c r="F33" s="15">
        <f>IFERROR(VLOOKUP(D33, Config!A:B, 2, FALSE), "")</f>
        <v/>
      </c>
      <c r="G33" s="15">
        <f>IF(E33="", "", WORKDAY(E33, F33))</f>
        <v/>
      </c>
      <c r="H33" s="15" t="n"/>
      <c r="I33" s="15" t="n"/>
      <c r="J33" s="16" t="n"/>
    </row>
    <row r="34">
      <c r="A34" s="15" t="n"/>
      <c r="B34" s="16" t="n"/>
      <c r="C34" s="16" t="n"/>
      <c r="D34" s="15" t="n"/>
      <c r="E34" s="15" t="n"/>
      <c r="F34" s="15">
        <f>IFERROR(VLOOKUP(D34, Config!A:B, 2, FALSE), "")</f>
        <v/>
      </c>
      <c r="G34" s="15">
        <f>IF(E34="", "", WORKDAY(E34, F34))</f>
        <v/>
      </c>
      <c r="H34" s="15" t="n"/>
      <c r="I34" s="15" t="n"/>
      <c r="J34" s="16" t="n"/>
    </row>
    <row r="35">
      <c r="A35" s="15" t="n"/>
      <c r="B35" s="16" t="n"/>
      <c r="C35" s="16" t="n"/>
      <c r="D35" s="15" t="n"/>
      <c r="E35" s="15" t="n"/>
      <c r="F35" s="15">
        <f>IFERROR(VLOOKUP(D35, Config!A:B, 2, FALSE), "")</f>
        <v/>
      </c>
      <c r="G35" s="15">
        <f>IF(E35="", "", WORKDAY(E35, F35))</f>
        <v/>
      </c>
      <c r="H35" s="15" t="n"/>
      <c r="I35" s="15" t="n"/>
      <c r="J35" s="16" t="n"/>
    </row>
    <row r="36">
      <c r="A36" s="15" t="n"/>
      <c r="B36" s="16" t="n"/>
      <c r="C36" s="16" t="n"/>
      <c r="D36" s="15" t="n"/>
      <c r="E36" s="15" t="n"/>
      <c r="F36" s="15">
        <f>IFERROR(VLOOKUP(D36, Config!A:B, 2, FALSE), "")</f>
        <v/>
      </c>
      <c r="G36" s="15">
        <f>IF(E36="", "", WORKDAY(E36, F36))</f>
        <v/>
      </c>
      <c r="H36" s="15" t="n"/>
      <c r="I36" s="15" t="n"/>
      <c r="J36" s="16" t="n"/>
    </row>
    <row r="37">
      <c r="A37" s="15" t="n"/>
      <c r="B37" s="16" t="n"/>
      <c r="C37" s="16" t="n"/>
      <c r="D37" s="15" t="n"/>
      <c r="E37" s="15" t="n"/>
      <c r="F37" s="15">
        <f>IFERROR(VLOOKUP(D37, Config!A:B, 2, FALSE), "")</f>
        <v/>
      </c>
      <c r="G37" s="15">
        <f>IF(E37="", "", WORKDAY(E37, F37))</f>
        <v/>
      </c>
      <c r="H37" s="15" t="n"/>
      <c r="I37" s="15" t="n"/>
      <c r="J37" s="16" t="n"/>
    </row>
    <row r="38">
      <c r="A38" s="15" t="n"/>
      <c r="B38" s="16" t="n"/>
      <c r="C38" s="16" t="n"/>
      <c r="D38" s="15" t="n"/>
      <c r="E38" s="15" t="n"/>
      <c r="F38" s="15">
        <f>IFERROR(VLOOKUP(D38, Config!A:B, 2, FALSE), "")</f>
        <v/>
      </c>
      <c r="G38" s="15">
        <f>IF(E38="", "", WORKDAY(E38, F38))</f>
        <v/>
      </c>
      <c r="H38" s="15" t="n"/>
      <c r="I38" s="15" t="n"/>
      <c r="J38" s="16" t="n"/>
    </row>
    <row r="39">
      <c r="A39" s="15" t="n"/>
      <c r="B39" s="16" t="n"/>
      <c r="C39" s="16" t="n"/>
      <c r="D39" s="15" t="n"/>
      <c r="E39" s="15" t="n"/>
      <c r="F39" s="15">
        <f>IFERROR(VLOOKUP(D39, Config!A:B, 2, FALSE), "")</f>
        <v/>
      </c>
      <c r="G39" s="15">
        <f>IF(E39="", "", WORKDAY(E39, F39))</f>
        <v/>
      </c>
      <c r="H39" s="15" t="n"/>
      <c r="I39" s="15" t="n"/>
      <c r="J39" s="16" t="n"/>
    </row>
    <row r="40">
      <c r="A40" s="15" t="n"/>
      <c r="B40" s="16" t="n"/>
      <c r="C40" s="16" t="n"/>
      <c r="D40" s="15" t="n"/>
      <c r="E40" s="15" t="n"/>
      <c r="F40" s="15">
        <f>IFERROR(VLOOKUP(D40, Config!A:B, 2, FALSE), "")</f>
        <v/>
      </c>
      <c r="G40" s="15">
        <f>IF(E40="", "", WORKDAY(E40, F40))</f>
        <v/>
      </c>
      <c r="H40" s="15" t="n"/>
      <c r="I40" s="15" t="n"/>
      <c r="J40" s="16" t="n"/>
    </row>
    <row r="41">
      <c r="A41" s="15" t="n"/>
      <c r="B41" s="16" t="n"/>
      <c r="C41" s="16" t="n"/>
      <c r="D41" s="15" t="n"/>
      <c r="E41" s="15" t="n"/>
      <c r="F41" s="15">
        <f>IFERROR(VLOOKUP(D41, Config!A:B, 2, FALSE), "")</f>
        <v/>
      </c>
      <c r="G41" s="15">
        <f>IF(E41="", "", WORKDAY(E41, F41))</f>
        <v/>
      </c>
      <c r="H41" s="15" t="n"/>
      <c r="I41" s="15" t="n"/>
      <c r="J41" s="16" t="n"/>
    </row>
    <row r="42">
      <c r="A42" s="15" t="n"/>
      <c r="B42" s="16" t="n"/>
      <c r="C42" s="16" t="n"/>
      <c r="D42" s="15" t="n"/>
      <c r="E42" s="15" t="n"/>
      <c r="F42" s="15">
        <f>IFERROR(VLOOKUP(D42, Config!A:B, 2, FALSE), "")</f>
        <v/>
      </c>
      <c r="G42" s="15">
        <f>IF(E42="", "", WORKDAY(E42, F42))</f>
        <v/>
      </c>
      <c r="H42" s="15" t="n"/>
      <c r="I42" s="15" t="n"/>
      <c r="J42" s="16" t="n"/>
    </row>
    <row r="43">
      <c r="A43" s="15" t="n"/>
      <c r="B43" s="16" t="n"/>
      <c r="C43" s="16" t="n"/>
      <c r="D43" s="15" t="n"/>
      <c r="E43" s="15" t="n"/>
      <c r="F43" s="15">
        <f>IFERROR(VLOOKUP(D43, Config!A:B, 2, FALSE), "")</f>
        <v/>
      </c>
      <c r="G43" s="15">
        <f>IF(E43="", "", WORKDAY(E43, F43))</f>
        <v/>
      </c>
      <c r="H43" s="15" t="n"/>
      <c r="I43" s="15" t="n"/>
      <c r="J43" s="16" t="n"/>
    </row>
    <row r="44">
      <c r="A44" s="15" t="n"/>
      <c r="B44" s="16" t="n"/>
      <c r="C44" s="16" t="n"/>
      <c r="D44" s="15" t="n"/>
      <c r="E44" s="15" t="n"/>
      <c r="F44" s="15">
        <f>IFERROR(VLOOKUP(D44, Config!A:B, 2, FALSE), "")</f>
        <v/>
      </c>
      <c r="G44" s="15">
        <f>IF(E44="", "", WORKDAY(E44, F44))</f>
        <v/>
      </c>
      <c r="H44" s="15" t="n"/>
      <c r="I44" s="15" t="n"/>
      <c r="J44" s="16" t="n"/>
    </row>
    <row r="45">
      <c r="A45" s="15" t="n"/>
      <c r="B45" s="16" t="n"/>
      <c r="C45" s="16" t="n"/>
      <c r="D45" s="15" t="n"/>
      <c r="E45" s="15" t="n"/>
      <c r="F45" s="15">
        <f>IFERROR(VLOOKUP(D45, Config!A:B, 2, FALSE), "")</f>
        <v/>
      </c>
      <c r="G45" s="15">
        <f>IF(E45="", "", WORKDAY(E45, F45))</f>
        <v/>
      </c>
      <c r="H45" s="15" t="n"/>
      <c r="I45" s="15" t="n"/>
      <c r="J45" s="16" t="n"/>
    </row>
    <row r="46">
      <c r="A46" s="15" t="n"/>
      <c r="B46" s="16" t="n"/>
      <c r="C46" s="16" t="n"/>
      <c r="D46" s="15" t="n"/>
      <c r="E46" s="15" t="n"/>
      <c r="F46" s="15">
        <f>IFERROR(VLOOKUP(D46, Config!A:B, 2, FALSE), "")</f>
        <v/>
      </c>
      <c r="G46" s="15">
        <f>IF(E46="", "", WORKDAY(E46, F46))</f>
        <v/>
      </c>
      <c r="H46" s="15" t="n"/>
      <c r="I46" s="15" t="n"/>
      <c r="J46" s="16" t="n"/>
    </row>
    <row r="47">
      <c r="A47" s="15" t="n"/>
      <c r="B47" s="16" t="n"/>
      <c r="C47" s="16" t="n"/>
      <c r="D47" s="15" t="n"/>
      <c r="E47" s="15" t="n"/>
      <c r="F47" s="15">
        <f>IFERROR(VLOOKUP(D47, Config!A:B, 2, FALSE), "")</f>
        <v/>
      </c>
      <c r="G47" s="15">
        <f>IF(E47="", "", WORKDAY(E47, F47))</f>
        <v/>
      </c>
      <c r="H47" s="15" t="n"/>
      <c r="I47" s="15" t="n"/>
      <c r="J47" s="16" t="n"/>
    </row>
    <row r="48">
      <c r="A48" s="15" t="n"/>
      <c r="B48" s="16" t="n"/>
      <c r="C48" s="16" t="n"/>
      <c r="D48" s="15" t="n"/>
      <c r="E48" s="15" t="n"/>
      <c r="F48" s="15">
        <f>IFERROR(VLOOKUP(D48, Config!A:B, 2, FALSE), "")</f>
        <v/>
      </c>
      <c r="G48" s="15">
        <f>IF(E48="", "", WORKDAY(E48, F48))</f>
        <v/>
      </c>
      <c r="H48" s="15" t="n"/>
      <c r="I48" s="15" t="n"/>
      <c r="J48" s="16" t="n"/>
    </row>
    <row r="49">
      <c r="A49" s="15" t="n"/>
      <c r="B49" s="16" t="n"/>
      <c r="C49" s="16" t="n"/>
      <c r="D49" s="15" t="n"/>
      <c r="E49" s="15" t="n"/>
      <c r="F49" s="15">
        <f>IFERROR(VLOOKUP(D49, Config!A:B, 2, FALSE), "")</f>
        <v/>
      </c>
      <c r="G49" s="15">
        <f>IF(E49="", "", WORKDAY(E49, F49))</f>
        <v/>
      </c>
      <c r="H49" s="15" t="n"/>
      <c r="I49" s="15" t="n"/>
      <c r="J49" s="16" t="n"/>
    </row>
    <row r="50">
      <c r="A50" s="15" t="n"/>
      <c r="B50" s="16" t="n"/>
      <c r="C50" s="16" t="n"/>
      <c r="D50" s="15" t="n"/>
      <c r="E50" s="15" t="n"/>
      <c r="F50" s="15">
        <f>IFERROR(VLOOKUP(D50, Config!A:B, 2, FALSE), "")</f>
        <v/>
      </c>
      <c r="G50" s="15">
        <f>IF(E50="", "", WORKDAY(E50, F50))</f>
        <v/>
      </c>
      <c r="H50" s="15" t="n"/>
      <c r="I50" s="15" t="n"/>
      <c r="J50" s="16" t="n"/>
    </row>
    <row r="51">
      <c r="A51" s="15" t="n"/>
      <c r="B51" s="16" t="n"/>
      <c r="C51" s="16" t="n"/>
      <c r="D51" s="15" t="n"/>
      <c r="E51" s="15" t="n"/>
      <c r="F51" s="15">
        <f>IFERROR(VLOOKUP(D51, Config!A:B, 2, FALSE), "")</f>
        <v/>
      </c>
      <c r="G51" s="15">
        <f>IF(E51="", "", WORKDAY(E51, F51))</f>
        <v/>
      </c>
      <c r="H51" s="15" t="n"/>
      <c r="I51" s="15" t="n"/>
      <c r="J51" s="16" t="n"/>
    </row>
    <row r="52">
      <c r="A52" s="15" t="n"/>
      <c r="B52" s="16" t="n"/>
      <c r="C52" s="16" t="n"/>
      <c r="D52" s="15" t="n"/>
      <c r="E52" s="15" t="n"/>
      <c r="F52" s="15">
        <f>IFERROR(VLOOKUP(D52, Config!A:B, 2, FALSE), "")</f>
        <v/>
      </c>
      <c r="G52" s="15">
        <f>IF(E52="", "", WORKDAY(E52, F52))</f>
        <v/>
      </c>
      <c r="H52" s="15" t="n"/>
      <c r="I52" s="15" t="n"/>
      <c r="J52" s="16" t="n"/>
    </row>
    <row r="53">
      <c r="A53" s="15" t="n"/>
      <c r="B53" s="16" t="n"/>
      <c r="C53" s="16" t="n"/>
      <c r="D53" s="15" t="n"/>
      <c r="E53" s="15" t="n"/>
      <c r="F53" s="15">
        <f>IFERROR(VLOOKUP(D53, Config!A:B, 2, FALSE), "")</f>
        <v/>
      </c>
      <c r="G53" s="15">
        <f>IF(E53="", "", WORKDAY(E53, F53))</f>
        <v/>
      </c>
      <c r="H53" s="15" t="n"/>
      <c r="I53" s="15" t="n"/>
      <c r="J53" s="16" t="n"/>
    </row>
    <row r="54">
      <c r="A54" s="15" t="n"/>
      <c r="B54" s="16" t="n"/>
      <c r="C54" s="16" t="n"/>
      <c r="D54" s="15" t="n"/>
      <c r="E54" s="15" t="n"/>
      <c r="F54" s="15">
        <f>IFERROR(VLOOKUP(D54, Config!A:B, 2, FALSE), "")</f>
        <v/>
      </c>
      <c r="G54" s="15">
        <f>IF(E54="", "", WORKDAY(E54, F54))</f>
        <v/>
      </c>
      <c r="H54" s="15" t="n"/>
      <c r="I54" s="15" t="n"/>
      <c r="J54" s="16" t="n"/>
    </row>
    <row r="55">
      <c r="A55" s="15" t="n"/>
      <c r="B55" s="16" t="n"/>
      <c r="C55" s="16" t="n"/>
      <c r="D55" s="15" t="n"/>
      <c r="E55" s="15" t="n"/>
      <c r="F55" s="15">
        <f>IFERROR(VLOOKUP(D55, Config!A:B, 2, FALSE), "")</f>
        <v/>
      </c>
      <c r="G55" s="15">
        <f>IF(E55="", "", WORKDAY(E55, F55))</f>
        <v/>
      </c>
      <c r="H55" s="15" t="n"/>
      <c r="I55" s="15" t="n"/>
      <c r="J55" s="16" t="n"/>
    </row>
    <row r="56">
      <c r="A56" s="15" t="n"/>
      <c r="B56" s="16" t="n"/>
      <c r="C56" s="16" t="n"/>
      <c r="D56" s="15" t="n"/>
      <c r="E56" s="15" t="n"/>
      <c r="F56" s="15">
        <f>IFERROR(VLOOKUP(D56, Config!A:B, 2, FALSE), "")</f>
        <v/>
      </c>
      <c r="G56" s="15">
        <f>IF(E56="", "", WORKDAY(E56, F56))</f>
        <v/>
      </c>
      <c r="H56" s="15" t="n"/>
      <c r="I56" s="15" t="n"/>
      <c r="J56" s="16" t="n"/>
    </row>
    <row r="57">
      <c r="A57" s="15" t="n"/>
      <c r="B57" s="16" t="n"/>
      <c r="C57" s="16" t="n"/>
      <c r="D57" s="15" t="n"/>
      <c r="E57" s="15" t="n"/>
      <c r="F57" s="15">
        <f>IFERROR(VLOOKUP(D57, Config!A:B, 2, FALSE), "")</f>
        <v/>
      </c>
      <c r="G57" s="15">
        <f>IF(E57="", "", WORKDAY(E57, F57))</f>
        <v/>
      </c>
      <c r="H57" s="15" t="n"/>
      <c r="I57" s="15" t="n"/>
      <c r="J57" s="16" t="n"/>
    </row>
    <row r="58">
      <c r="A58" s="15" t="n"/>
      <c r="B58" s="16" t="n"/>
      <c r="C58" s="16" t="n"/>
      <c r="D58" s="15" t="n"/>
      <c r="E58" s="15" t="n"/>
      <c r="F58" s="15">
        <f>IFERROR(VLOOKUP(D58, Config!A:B, 2, FALSE), "")</f>
        <v/>
      </c>
      <c r="G58" s="15">
        <f>IF(E58="", "", WORKDAY(E58, F58))</f>
        <v/>
      </c>
      <c r="H58" s="15" t="n"/>
      <c r="I58" s="15" t="n"/>
      <c r="J58" s="16" t="n"/>
    </row>
    <row r="59">
      <c r="A59" s="15" t="n"/>
      <c r="B59" s="16" t="n"/>
      <c r="C59" s="16" t="n"/>
      <c r="D59" s="15" t="n"/>
      <c r="E59" s="15" t="n"/>
      <c r="F59" s="15">
        <f>IFERROR(VLOOKUP(D59, Config!A:B, 2, FALSE), "")</f>
        <v/>
      </c>
      <c r="G59" s="15">
        <f>IF(E59="", "", WORKDAY(E59, F59))</f>
        <v/>
      </c>
      <c r="H59" s="15" t="n"/>
      <c r="I59" s="15" t="n"/>
      <c r="J59" s="16" t="n"/>
    </row>
    <row r="60">
      <c r="A60" s="15" t="n"/>
      <c r="B60" s="16" t="n"/>
      <c r="C60" s="16" t="n"/>
      <c r="D60" s="15" t="n"/>
      <c r="E60" s="15" t="n"/>
      <c r="F60" s="15">
        <f>IFERROR(VLOOKUP(D60, Config!A:B, 2, FALSE), "")</f>
        <v/>
      </c>
      <c r="G60" s="15">
        <f>IF(E60="", "", WORKDAY(E60, F60))</f>
        <v/>
      </c>
      <c r="H60" s="15" t="n"/>
      <c r="I60" s="15" t="n"/>
      <c r="J60" s="16" t="n"/>
    </row>
    <row r="61">
      <c r="A61" s="15" t="n"/>
      <c r="B61" s="16" t="n"/>
      <c r="C61" s="16" t="n"/>
      <c r="D61" s="15" t="n"/>
      <c r="E61" s="15" t="n"/>
      <c r="F61" s="15">
        <f>IFERROR(VLOOKUP(D61, Config!A:B, 2, FALSE), "")</f>
        <v/>
      </c>
      <c r="G61" s="15">
        <f>IF(E61="", "", WORKDAY(E61, F61))</f>
        <v/>
      </c>
      <c r="H61" s="15" t="n"/>
      <c r="I61" s="15" t="n"/>
      <c r="J61" s="16" t="n"/>
    </row>
    <row r="62">
      <c r="A62" s="15" t="n"/>
      <c r="B62" s="16" t="n"/>
      <c r="C62" s="16" t="n"/>
      <c r="D62" s="15" t="n"/>
      <c r="E62" s="15" t="n"/>
      <c r="F62" s="15">
        <f>IFERROR(VLOOKUP(D62, Config!A:B, 2, FALSE), "")</f>
        <v/>
      </c>
      <c r="G62" s="15">
        <f>IF(E62="", "", WORKDAY(E62, F62))</f>
        <v/>
      </c>
      <c r="H62" s="15" t="n"/>
      <c r="I62" s="15" t="n"/>
      <c r="J62" s="16" t="n"/>
    </row>
    <row r="63">
      <c r="A63" s="15" t="n"/>
      <c r="B63" s="16" t="n"/>
      <c r="C63" s="16" t="n"/>
      <c r="D63" s="15" t="n"/>
      <c r="E63" s="15" t="n"/>
      <c r="F63" s="15">
        <f>IFERROR(VLOOKUP(D63, Config!A:B, 2, FALSE), "")</f>
        <v/>
      </c>
      <c r="G63" s="15">
        <f>IF(E63="", "", WORKDAY(E63, F63))</f>
        <v/>
      </c>
      <c r="H63" s="15" t="n"/>
      <c r="I63" s="15" t="n"/>
      <c r="J63" s="16" t="n"/>
    </row>
    <row r="64">
      <c r="A64" s="15" t="n"/>
      <c r="B64" s="16" t="n"/>
      <c r="C64" s="16" t="n"/>
      <c r="D64" s="15" t="n"/>
      <c r="E64" s="15" t="n"/>
      <c r="F64" s="15">
        <f>IFERROR(VLOOKUP(D64, Config!A:B, 2, FALSE), "")</f>
        <v/>
      </c>
      <c r="G64" s="15">
        <f>IF(E64="", "", WORKDAY(E64, F64))</f>
        <v/>
      </c>
      <c r="H64" s="15" t="n"/>
      <c r="I64" s="15" t="n"/>
      <c r="J64" s="16" t="n"/>
    </row>
    <row r="65">
      <c r="A65" s="15" t="n"/>
      <c r="B65" s="16" t="n"/>
      <c r="C65" s="16" t="n"/>
      <c r="D65" s="15" t="n"/>
      <c r="E65" s="15" t="n"/>
      <c r="F65" s="15">
        <f>IFERROR(VLOOKUP(D65, Config!A:B, 2, FALSE), "")</f>
        <v/>
      </c>
      <c r="G65" s="15">
        <f>IF(E65="", "", WORKDAY(E65, F65))</f>
        <v/>
      </c>
      <c r="H65" s="15" t="n"/>
      <c r="I65" s="15" t="n"/>
      <c r="J65" s="16" t="n"/>
    </row>
    <row r="66">
      <c r="A66" s="15" t="n"/>
      <c r="B66" s="16" t="n"/>
      <c r="C66" s="16" t="n"/>
      <c r="D66" s="15" t="n"/>
      <c r="E66" s="15" t="n"/>
      <c r="F66" s="15">
        <f>IFERROR(VLOOKUP(D66, Config!A:B, 2, FALSE), "")</f>
        <v/>
      </c>
      <c r="G66" s="15">
        <f>IF(E66="", "", WORKDAY(E66, F66))</f>
        <v/>
      </c>
      <c r="H66" s="15" t="n"/>
      <c r="I66" s="15" t="n"/>
      <c r="J66" s="16" t="n"/>
    </row>
    <row r="67">
      <c r="A67" s="15" t="n"/>
      <c r="B67" s="16" t="n"/>
      <c r="C67" s="16" t="n"/>
      <c r="D67" s="15" t="n"/>
      <c r="E67" s="15" t="n"/>
      <c r="F67" s="15">
        <f>IFERROR(VLOOKUP(D67, Config!A:B, 2, FALSE), "")</f>
        <v/>
      </c>
      <c r="G67" s="15">
        <f>IF(E67="", "", WORKDAY(E67, F67))</f>
        <v/>
      </c>
      <c r="H67" s="15" t="n"/>
      <c r="I67" s="15" t="n"/>
      <c r="J67" s="16" t="n"/>
    </row>
    <row r="68">
      <c r="A68" s="15" t="n"/>
      <c r="B68" s="16" t="n"/>
      <c r="C68" s="16" t="n"/>
      <c r="D68" s="15" t="n"/>
      <c r="E68" s="15" t="n"/>
      <c r="F68" s="15">
        <f>IFERROR(VLOOKUP(D68, Config!A:B, 2, FALSE), "")</f>
        <v/>
      </c>
      <c r="G68" s="15">
        <f>IF(E68="", "", WORKDAY(E68, F68))</f>
        <v/>
      </c>
      <c r="H68" s="15" t="n"/>
      <c r="I68" s="15" t="n"/>
      <c r="J68" s="16" t="n"/>
    </row>
    <row r="69">
      <c r="A69" s="15" t="n"/>
      <c r="B69" s="16" t="n"/>
      <c r="C69" s="16" t="n"/>
      <c r="D69" s="15" t="n"/>
      <c r="E69" s="15" t="n"/>
      <c r="F69" s="15">
        <f>IFERROR(VLOOKUP(D69, Config!A:B, 2, FALSE), "")</f>
        <v/>
      </c>
      <c r="G69" s="15">
        <f>IF(E69="", "", WORKDAY(E69, F69))</f>
        <v/>
      </c>
      <c r="H69" s="15" t="n"/>
      <c r="I69" s="15" t="n"/>
      <c r="J69" s="16" t="n"/>
    </row>
    <row r="70">
      <c r="A70" s="15" t="n"/>
      <c r="B70" s="16" t="n"/>
      <c r="C70" s="16" t="n"/>
      <c r="D70" s="15" t="n"/>
      <c r="E70" s="15" t="n"/>
      <c r="F70" s="15">
        <f>IFERROR(VLOOKUP(D70, Config!A:B, 2, FALSE), "")</f>
        <v/>
      </c>
      <c r="G70" s="15">
        <f>IF(E70="", "", WORKDAY(E70, F70))</f>
        <v/>
      </c>
      <c r="H70" s="15" t="n"/>
      <c r="I70" s="15" t="n"/>
      <c r="J70" s="16" t="n"/>
    </row>
    <row r="71">
      <c r="A71" s="15" t="n"/>
      <c r="B71" s="16" t="n"/>
      <c r="C71" s="16" t="n"/>
      <c r="D71" s="15" t="n"/>
      <c r="E71" s="15" t="n"/>
      <c r="F71" s="15">
        <f>IFERROR(VLOOKUP(D71, Config!A:B, 2, FALSE), "")</f>
        <v/>
      </c>
      <c r="G71" s="15">
        <f>IF(E71="", "", WORKDAY(E71, F71))</f>
        <v/>
      </c>
      <c r="H71" s="15" t="n"/>
      <c r="I71" s="15" t="n"/>
      <c r="J71" s="16" t="n"/>
    </row>
    <row r="72">
      <c r="A72" s="15" t="n"/>
      <c r="B72" s="16" t="n"/>
      <c r="C72" s="16" t="n"/>
      <c r="D72" s="15" t="n"/>
      <c r="E72" s="15" t="n"/>
      <c r="F72" s="15">
        <f>IFERROR(VLOOKUP(D72, Config!A:B, 2, FALSE), "")</f>
        <v/>
      </c>
      <c r="G72" s="15">
        <f>IF(E72="", "", WORKDAY(E72, F72))</f>
        <v/>
      </c>
      <c r="H72" s="15" t="n"/>
      <c r="I72" s="15" t="n"/>
      <c r="J72" s="16" t="n"/>
    </row>
    <row r="73">
      <c r="A73" s="15" t="n"/>
      <c r="B73" s="16" t="n"/>
      <c r="C73" s="16" t="n"/>
      <c r="D73" s="15" t="n"/>
      <c r="E73" s="15" t="n"/>
      <c r="F73" s="15">
        <f>IFERROR(VLOOKUP(D73, Config!A:B, 2, FALSE), "")</f>
        <v/>
      </c>
      <c r="G73" s="15">
        <f>IF(E73="", "", WORKDAY(E73, F73))</f>
        <v/>
      </c>
      <c r="H73" s="15" t="n"/>
      <c r="I73" s="15" t="n"/>
      <c r="J73" s="16" t="n"/>
    </row>
    <row r="74">
      <c r="A74" s="15" t="n"/>
      <c r="B74" s="16" t="n"/>
      <c r="C74" s="16" t="n"/>
      <c r="D74" s="15" t="n"/>
      <c r="E74" s="15" t="n"/>
      <c r="F74" s="15">
        <f>IFERROR(VLOOKUP(D74, Config!A:B, 2, FALSE), "")</f>
        <v/>
      </c>
      <c r="G74" s="15">
        <f>IF(E74="", "", WORKDAY(E74, F74))</f>
        <v/>
      </c>
      <c r="H74" s="15" t="n"/>
      <c r="I74" s="15" t="n"/>
      <c r="J74" s="16" t="n"/>
    </row>
    <row r="75">
      <c r="A75" s="15" t="n"/>
      <c r="B75" s="16" t="n"/>
      <c r="C75" s="16" t="n"/>
      <c r="D75" s="15" t="n"/>
      <c r="E75" s="15" t="n"/>
      <c r="F75" s="15">
        <f>IFERROR(VLOOKUP(D75, Config!A:B, 2, FALSE), "")</f>
        <v/>
      </c>
      <c r="G75" s="15">
        <f>IF(E75="", "", WORKDAY(E75, F75))</f>
        <v/>
      </c>
      <c r="H75" s="15" t="n"/>
      <c r="I75" s="15" t="n"/>
      <c r="J75" s="16" t="n"/>
    </row>
    <row r="76">
      <c r="A76" s="15" t="n"/>
      <c r="B76" s="16" t="n"/>
      <c r="C76" s="16" t="n"/>
      <c r="D76" s="15" t="n"/>
      <c r="E76" s="15" t="n"/>
      <c r="F76" s="15">
        <f>IFERROR(VLOOKUP(D76, Config!A:B, 2, FALSE), "")</f>
        <v/>
      </c>
      <c r="G76" s="15">
        <f>IF(E76="", "", WORKDAY(E76, F76))</f>
        <v/>
      </c>
      <c r="H76" s="15" t="n"/>
      <c r="I76" s="15" t="n"/>
      <c r="J76" s="16" t="n"/>
    </row>
    <row r="77">
      <c r="A77" s="15" t="n"/>
      <c r="B77" s="16" t="n"/>
      <c r="C77" s="16" t="n"/>
      <c r="D77" s="15" t="n"/>
      <c r="E77" s="15" t="n"/>
      <c r="F77" s="15">
        <f>IFERROR(VLOOKUP(D77, Config!A:B, 2, FALSE), "")</f>
        <v/>
      </c>
      <c r="G77" s="15">
        <f>IF(E77="", "", WORKDAY(E77, F77))</f>
        <v/>
      </c>
      <c r="H77" s="15" t="n"/>
      <c r="I77" s="15" t="n"/>
      <c r="J77" s="16" t="n"/>
    </row>
    <row r="78">
      <c r="A78" s="15" t="n"/>
      <c r="B78" s="16" t="n"/>
      <c r="C78" s="16" t="n"/>
      <c r="D78" s="15" t="n"/>
      <c r="E78" s="15" t="n"/>
      <c r="F78" s="15">
        <f>IFERROR(VLOOKUP(D78, Config!A:B, 2, FALSE), "")</f>
        <v/>
      </c>
      <c r="G78" s="15">
        <f>IF(E78="", "", WORKDAY(E78, F78))</f>
        <v/>
      </c>
      <c r="H78" s="15" t="n"/>
      <c r="I78" s="15" t="n"/>
      <c r="J78" s="16" t="n"/>
    </row>
    <row r="79">
      <c r="A79" s="15" t="n"/>
      <c r="B79" s="16" t="n"/>
      <c r="C79" s="16" t="n"/>
      <c r="D79" s="15" t="n"/>
      <c r="E79" s="15" t="n"/>
      <c r="F79" s="15">
        <f>IFERROR(VLOOKUP(D79, Config!A:B, 2, FALSE), "")</f>
        <v/>
      </c>
      <c r="G79" s="15">
        <f>IF(E79="", "", WORKDAY(E79, F79))</f>
        <v/>
      </c>
      <c r="H79" s="15" t="n"/>
      <c r="I79" s="15" t="n"/>
      <c r="J79" s="16" t="n"/>
    </row>
    <row r="80">
      <c r="A80" s="15" t="n"/>
      <c r="B80" s="16" t="n"/>
      <c r="C80" s="16" t="n"/>
      <c r="D80" s="15" t="n"/>
      <c r="E80" s="15" t="n"/>
      <c r="F80" s="15">
        <f>IFERROR(VLOOKUP(D80, Config!A:B, 2, FALSE), "")</f>
        <v/>
      </c>
      <c r="G80" s="15">
        <f>IF(E80="", "", WORKDAY(E80, F80))</f>
        <v/>
      </c>
      <c r="H80" s="15" t="n"/>
      <c r="I80" s="15" t="n"/>
      <c r="J80" s="16" t="n"/>
    </row>
    <row r="81">
      <c r="A81" s="15" t="n"/>
      <c r="B81" s="16" t="n"/>
      <c r="C81" s="16" t="n"/>
      <c r="D81" s="15" t="n"/>
      <c r="E81" s="15" t="n"/>
      <c r="F81" s="15">
        <f>IFERROR(VLOOKUP(D81, Config!A:B, 2, FALSE), "")</f>
        <v/>
      </c>
      <c r="G81" s="15">
        <f>IF(E81="", "", WORKDAY(E81, F81))</f>
        <v/>
      </c>
      <c r="H81" s="15" t="n"/>
      <c r="I81" s="15" t="n"/>
      <c r="J81" s="16" t="n"/>
    </row>
    <row r="82">
      <c r="A82" s="15" t="n"/>
      <c r="B82" s="16" t="n"/>
      <c r="C82" s="16" t="n"/>
      <c r="D82" s="15" t="n"/>
      <c r="E82" s="15" t="n"/>
      <c r="F82" s="15">
        <f>IFERROR(VLOOKUP(D82, Config!A:B, 2, FALSE), "")</f>
        <v/>
      </c>
      <c r="G82" s="15">
        <f>IF(E82="", "", WORKDAY(E82, F82))</f>
        <v/>
      </c>
      <c r="H82" s="15" t="n"/>
      <c r="I82" s="15" t="n"/>
      <c r="J82" s="16" t="n"/>
    </row>
    <row r="83">
      <c r="A83" s="15" t="n"/>
      <c r="B83" s="16" t="n"/>
      <c r="C83" s="16" t="n"/>
      <c r="D83" s="15" t="n"/>
      <c r="E83" s="15" t="n"/>
      <c r="F83" s="15">
        <f>IFERROR(VLOOKUP(D83, Config!A:B, 2, FALSE), "")</f>
        <v/>
      </c>
      <c r="G83" s="15">
        <f>IF(E83="", "", WORKDAY(E83, F83))</f>
        <v/>
      </c>
      <c r="H83" s="15" t="n"/>
      <c r="I83" s="15" t="n"/>
      <c r="J83" s="16" t="n"/>
    </row>
    <row r="84">
      <c r="A84" s="15" t="n"/>
      <c r="B84" s="16" t="n"/>
      <c r="C84" s="16" t="n"/>
      <c r="D84" s="15" t="n"/>
      <c r="E84" s="15" t="n"/>
      <c r="F84" s="15">
        <f>IFERROR(VLOOKUP(D84, Config!A:B, 2, FALSE), "")</f>
        <v/>
      </c>
      <c r="G84" s="15">
        <f>IF(E84="", "", WORKDAY(E84, F84))</f>
        <v/>
      </c>
      <c r="H84" s="15" t="n"/>
      <c r="I84" s="15" t="n"/>
      <c r="J84" s="16" t="n"/>
    </row>
    <row r="85">
      <c r="A85" s="15" t="n"/>
      <c r="B85" s="16" t="n"/>
      <c r="C85" s="16" t="n"/>
      <c r="D85" s="15" t="n"/>
      <c r="E85" s="15" t="n"/>
      <c r="F85" s="15">
        <f>IFERROR(VLOOKUP(D85, Config!A:B, 2, FALSE), "")</f>
        <v/>
      </c>
      <c r="G85" s="15">
        <f>IF(E85="", "", WORKDAY(E85, F85))</f>
        <v/>
      </c>
      <c r="H85" s="15" t="n"/>
      <c r="I85" s="15" t="n"/>
      <c r="J85" s="16" t="n"/>
    </row>
    <row r="86">
      <c r="A86" s="15" t="n"/>
      <c r="B86" s="16" t="n"/>
      <c r="C86" s="16" t="n"/>
      <c r="D86" s="15" t="n"/>
      <c r="E86" s="15" t="n"/>
      <c r="F86" s="15">
        <f>IFERROR(VLOOKUP(D86, Config!A:B, 2, FALSE), "")</f>
        <v/>
      </c>
      <c r="G86" s="15">
        <f>IF(E86="", "", WORKDAY(E86, F86))</f>
        <v/>
      </c>
      <c r="H86" s="15" t="n"/>
      <c r="I86" s="15" t="n"/>
      <c r="J86" s="16" t="n"/>
    </row>
    <row r="87">
      <c r="A87" s="15" t="n"/>
      <c r="B87" s="16" t="n"/>
      <c r="C87" s="16" t="n"/>
      <c r="D87" s="15" t="n"/>
      <c r="E87" s="15" t="n"/>
      <c r="F87" s="15">
        <f>IFERROR(VLOOKUP(D87, Config!A:B, 2, FALSE), "")</f>
        <v/>
      </c>
      <c r="G87" s="15">
        <f>IF(E87="", "", WORKDAY(E87, F87))</f>
        <v/>
      </c>
      <c r="H87" s="15" t="n"/>
      <c r="I87" s="15" t="n"/>
      <c r="J87" s="16" t="n"/>
    </row>
    <row r="88">
      <c r="A88" s="15" t="n"/>
      <c r="B88" s="16" t="n"/>
      <c r="C88" s="16" t="n"/>
      <c r="D88" s="15" t="n"/>
      <c r="E88" s="15" t="n"/>
      <c r="F88" s="15">
        <f>IFERROR(VLOOKUP(D88, Config!A:B, 2, FALSE), "")</f>
        <v/>
      </c>
      <c r="G88" s="15">
        <f>IF(E88="", "", WORKDAY(E88, F88))</f>
        <v/>
      </c>
      <c r="H88" s="15" t="n"/>
      <c r="I88" s="15" t="n"/>
      <c r="J88" s="16" t="n"/>
    </row>
    <row r="89">
      <c r="A89" s="15" t="n"/>
      <c r="B89" s="16" t="n"/>
      <c r="C89" s="16" t="n"/>
      <c r="D89" s="15" t="n"/>
      <c r="E89" s="15" t="n"/>
      <c r="F89" s="15">
        <f>IFERROR(VLOOKUP(D89, Config!A:B, 2, FALSE), "")</f>
        <v/>
      </c>
      <c r="G89" s="15">
        <f>IF(E89="", "", WORKDAY(E89, F89))</f>
        <v/>
      </c>
      <c r="H89" s="15" t="n"/>
      <c r="I89" s="15" t="n"/>
      <c r="J89" s="16" t="n"/>
    </row>
    <row r="90">
      <c r="A90" s="15" t="n"/>
      <c r="B90" s="16" t="n"/>
      <c r="C90" s="16" t="n"/>
      <c r="D90" s="15" t="n"/>
      <c r="E90" s="15" t="n"/>
      <c r="F90" s="15">
        <f>IFERROR(VLOOKUP(D90, Config!A:B, 2, FALSE), "")</f>
        <v/>
      </c>
      <c r="G90" s="15">
        <f>IF(E90="", "", WORKDAY(E90, F90))</f>
        <v/>
      </c>
      <c r="H90" s="15" t="n"/>
      <c r="I90" s="15" t="n"/>
      <c r="J90" s="16" t="n"/>
    </row>
    <row r="91">
      <c r="A91" s="15" t="n"/>
      <c r="B91" s="16" t="n"/>
      <c r="C91" s="16" t="n"/>
      <c r="D91" s="15" t="n"/>
      <c r="E91" s="15" t="n"/>
      <c r="F91" s="15">
        <f>IFERROR(VLOOKUP(D91, Config!A:B, 2, FALSE), "")</f>
        <v/>
      </c>
      <c r="G91" s="15">
        <f>IF(E91="", "", WORKDAY(E91, F91))</f>
        <v/>
      </c>
      <c r="H91" s="15" t="n"/>
      <c r="I91" s="15" t="n"/>
      <c r="J91" s="16" t="n"/>
    </row>
    <row r="92">
      <c r="A92" s="15" t="n"/>
      <c r="B92" s="16" t="n"/>
      <c r="C92" s="16" t="n"/>
      <c r="D92" s="15" t="n"/>
      <c r="E92" s="15" t="n"/>
      <c r="F92" s="15">
        <f>IFERROR(VLOOKUP(D92, Config!A:B, 2, FALSE), "")</f>
        <v/>
      </c>
      <c r="G92" s="15">
        <f>IF(E92="", "", WORKDAY(E92, F92))</f>
        <v/>
      </c>
      <c r="H92" s="15" t="n"/>
      <c r="I92" s="15" t="n"/>
      <c r="J92" s="16" t="n"/>
    </row>
    <row r="93">
      <c r="A93" s="15" t="n"/>
      <c r="B93" s="16" t="n"/>
      <c r="C93" s="16" t="n"/>
      <c r="D93" s="15" t="n"/>
      <c r="E93" s="15" t="n"/>
      <c r="F93" s="15">
        <f>IFERROR(VLOOKUP(D93, Config!A:B, 2, FALSE), "")</f>
        <v/>
      </c>
      <c r="G93" s="15">
        <f>IF(E93="", "", WORKDAY(E93, F93))</f>
        <v/>
      </c>
      <c r="H93" s="15" t="n"/>
      <c r="I93" s="15" t="n"/>
      <c r="J93" s="16" t="n"/>
    </row>
    <row r="94">
      <c r="A94" s="15" t="n"/>
      <c r="B94" s="16" t="n"/>
      <c r="C94" s="16" t="n"/>
      <c r="D94" s="15" t="n"/>
      <c r="E94" s="15" t="n"/>
      <c r="F94" s="15">
        <f>IFERROR(VLOOKUP(D94, Config!A:B, 2, FALSE), "")</f>
        <v/>
      </c>
      <c r="G94" s="15">
        <f>IF(E94="", "", WORKDAY(E94, F94))</f>
        <v/>
      </c>
      <c r="H94" s="15" t="n"/>
      <c r="I94" s="15" t="n"/>
      <c r="J94" s="16" t="n"/>
    </row>
    <row r="95">
      <c r="A95" s="15" t="n"/>
      <c r="B95" s="16" t="n"/>
      <c r="C95" s="16" t="n"/>
      <c r="D95" s="15" t="n"/>
      <c r="E95" s="15" t="n"/>
      <c r="F95" s="15">
        <f>IFERROR(VLOOKUP(D95, Config!A:B, 2, FALSE), "")</f>
        <v/>
      </c>
      <c r="G95" s="15">
        <f>IF(E95="", "", WORKDAY(E95, F95))</f>
        <v/>
      </c>
      <c r="H95" s="15" t="n"/>
      <c r="I95" s="15" t="n"/>
      <c r="J95" s="16" t="n"/>
    </row>
    <row r="96">
      <c r="A96" s="15" t="n"/>
      <c r="B96" s="16" t="n"/>
      <c r="C96" s="16" t="n"/>
      <c r="D96" s="15" t="n"/>
      <c r="E96" s="15" t="n"/>
      <c r="F96" s="15">
        <f>IFERROR(VLOOKUP(D96, Config!A:B, 2, FALSE), "")</f>
        <v/>
      </c>
      <c r="G96" s="15">
        <f>IF(E96="", "", WORKDAY(E96, F96))</f>
        <v/>
      </c>
      <c r="H96" s="15" t="n"/>
      <c r="I96" s="15" t="n"/>
      <c r="J96" s="16" t="n"/>
    </row>
    <row r="97">
      <c r="A97" s="15" t="n"/>
      <c r="B97" s="16" t="n"/>
      <c r="C97" s="16" t="n"/>
      <c r="D97" s="15" t="n"/>
      <c r="E97" s="15" t="n"/>
      <c r="F97" s="15">
        <f>IFERROR(VLOOKUP(D97, Config!A:B, 2, FALSE), "")</f>
        <v/>
      </c>
      <c r="G97" s="15">
        <f>IF(E97="", "", WORKDAY(E97, F97))</f>
        <v/>
      </c>
      <c r="H97" s="15" t="n"/>
      <c r="I97" s="15" t="n"/>
      <c r="J97" s="16" t="n"/>
    </row>
    <row r="98">
      <c r="A98" s="15" t="n"/>
      <c r="B98" s="16" t="n"/>
      <c r="C98" s="16" t="n"/>
      <c r="D98" s="15" t="n"/>
      <c r="E98" s="15" t="n"/>
      <c r="F98" s="15">
        <f>IFERROR(VLOOKUP(D98, Config!A:B, 2, FALSE), "")</f>
        <v/>
      </c>
      <c r="G98" s="15">
        <f>IF(E98="", "", WORKDAY(E98, F98))</f>
        <v/>
      </c>
      <c r="H98" s="15" t="n"/>
      <c r="I98" s="15" t="n"/>
      <c r="J98" s="16" t="n"/>
    </row>
    <row r="99">
      <c r="A99" s="15" t="n"/>
      <c r="B99" s="16" t="n"/>
      <c r="C99" s="16" t="n"/>
      <c r="D99" s="15" t="n"/>
      <c r="E99" s="15" t="n"/>
      <c r="F99" s="15">
        <f>IFERROR(VLOOKUP(D99, Config!A:B, 2, FALSE), "")</f>
        <v/>
      </c>
      <c r="G99" s="15">
        <f>IF(E99="", "", WORKDAY(E99, F99))</f>
        <v/>
      </c>
      <c r="H99" s="15" t="n"/>
      <c r="I99" s="15" t="n"/>
      <c r="J99" s="16" t="n"/>
    </row>
    <row r="100">
      <c r="A100" s="15" t="n"/>
      <c r="B100" s="16" t="n"/>
      <c r="C100" s="16" t="n"/>
      <c r="D100" s="15" t="n"/>
      <c r="E100" s="15" t="n"/>
      <c r="F100" s="15">
        <f>IFERROR(VLOOKUP(D100, Config!A:B, 2, FALSE), "")</f>
        <v/>
      </c>
      <c r="G100" s="15">
        <f>IF(E100="", "", WORKDAY(E100, F100))</f>
        <v/>
      </c>
      <c r="H100" s="15" t="n"/>
      <c r="I100" s="15" t="n"/>
      <c r="J100" s="16" t="n"/>
    </row>
  </sheetData>
  <conditionalFormatting sqref="D2:D1000">
    <cfRule type="cellIs" priority="1" operator="equal" dxfId="3">
      <formula>"Baixa"</formula>
    </cfRule>
    <cfRule type="cellIs" priority="2" operator="equal" dxfId="4">
      <formula>"Média"</formula>
    </cfRule>
    <cfRule type="cellIs" priority="3" operator="equal" dxfId="5">
      <formula>"Alta"</formula>
    </cfRule>
  </conditionalFormatting>
  <conditionalFormatting sqref="H2:H1000">
    <cfRule type="cellIs" priority="4" operator="equal" dxfId="3">
      <formula>"Finalizada"</formula>
    </cfRule>
  </conditionalFormatting>
  <dataValidations count="2">
    <dataValidation sqref="D2:D1000" showDropDown="1" showInputMessage="0" showErrorMessage="0" allowBlank="0" type="list">
      <formula1>"Baixa,Média,Alta"</formula1>
    </dataValidation>
    <dataValidation sqref="H2:H1000" showDropDown="1" showInputMessage="0" showErrorMessage="0" allowBlank="0" type="list">
      <formula1>"Pendente,Em Andamento,Finalizada"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25" customWidth="1" min="10" max="10"/>
  </cols>
  <sheetData>
    <row r="1">
      <c r="A1" s="14" t="inlineStr">
        <is>
          <t>ID</t>
        </is>
      </c>
      <c r="B1" s="14" t="inlineStr">
        <is>
          <t>Cliente</t>
        </is>
      </c>
      <c r="C1" s="14" t="inlineStr">
        <is>
          <t>Tipo de Ação</t>
        </is>
      </c>
      <c r="D1" s="14" t="inlineStr">
        <is>
          <t>Complexidade</t>
        </is>
      </c>
      <c r="E1" s="14" t="inlineStr">
        <is>
          <t>Data Envio Doc</t>
        </is>
      </c>
      <c r="F1" s="14" t="inlineStr">
        <is>
          <t>Prazo (Dias)</t>
        </is>
      </c>
      <c r="G1" s="14" t="inlineStr">
        <is>
          <t>Prazo Fatal</t>
        </is>
      </c>
      <c r="H1" s="14" t="inlineStr">
        <is>
          <t>Status</t>
        </is>
      </c>
      <c r="I1" s="14" t="inlineStr">
        <is>
          <t>Data Protocolo</t>
        </is>
      </c>
      <c r="J1" s="14" t="inlineStr">
        <is>
          <t>Advogado Responsável</t>
        </is>
      </c>
    </row>
    <row r="2">
      <c r="A2" s="15" t="n"/>
      <c r="B2" s="16" t="n"/>
      <c r="C2" s="16" t="n"/>
      <c r="D2" s="15" t="n"/>
      <c r="E2" s="15" t="n"/>
      <c r="F2" s="15">
        <f>IFERROR(VLOOKUP(D2, Config!A:B, 2, FALSE), "")</f>
        <v/>
      </c>
      <c r="G2" s="15">
        <f>IF(E2="", "", WORKDAY(E2, F2))</f>
        <v/>
      </c>
      <c r="H2" s="15" t="n"/>
      <c r="I2" s="15" t="n"/>
      <c r="J2" s="16" t="n"/>
    </row>
    <row r="3">
      <c r="A3" s="15" t="n"/>
      <c r="B3" s="16" t="n"/>
      <c r="C3" s="16" t="n"/>
      <c r="D3" s="15" t="n"/>
      <c r="E3" s="15" t="n"/>
      <c r="F3" s="15">
        <f>IFERROR(VLOOKUP(D3, Config!A:B, 2, FALSE), "")</f>
        <v/>
      </c>
      <c r="G3" s="15">
        <f>IF(E3="", "", WORKDAY(E3, F3))</f>
        <v/>
      </c>
      <c r="H3" s="15" t="n"/>
      <c r="I3" s="15" t="n"/>
      <c r="J3" s="16" t="n"/>
    </row>
    <row r="4">
      <c r="A4" s="15" t="n"/>
      <c r="B4" s="16" t="n"/>
      <c r="C4" s="16" t="n"/>
      <c r="D4" s="15" t="n"/>
      <c r="E4" s="15" t="n"/>
      <c r="F4" s="15">
        <f>IFERROR(VLOOKUP(D4, Config!A:B, 2, FALSE), "")</f>
        <v/>
      </c>
      <c r="G4" s="15">
        <f>IF(E4="", "", WORKDAY(E4, F4))</f>
        <v/>
      </c>
      <c r="H4" s="15" t="n"/>
      <c r="I4" s="15" t="n"/>
      <c r="J4" s="16" t="n"/>
    </row>
    <row r="5">
      <c r="A5" s="15" t="n"/>
      <c r="B5" s="16" t="n"/>
      <c r="C5" s="16" t="n"/>
      <c r="D5" s="15" t="n"/>
      <c r="E5" s="15" t="n"/>
      <c r="F5" s="15">
        <f>IFERROR(VLOOKUP(D5, Config!A:B, 2, FALSE), "")</f>
        <v/>
      </c>
      <c r="G5" s="15">
        <f>IF(E5="", "", WORKDAY(E5, F5))</f>
        <v/>
      </c>
      <c r="H5" s="15" t="n"/>
      <c r="I5" s="15" t="n"/>
      <c r="J5" s="16" t="n"/>
    </row>
    <row r="6">
      <c r="A6" s="15" t="n"/>
      <c r="B6" s="16" t="n"/>
      <c r="C6" s="16" t="n"/>
      <c r="D6" s="15" t="n"/>
      <c r="E6" s="15" t="n"/>
      <c r="F6" s="15">
        <f>IFERROR(VLOOKUP(D6, Config!A:B, 2, FALSE), "")</f>
        <v/>
      </c>
      <c r="G6" s="15">
        <f>IF(E6="", "", WORKDAY(E6, F6))</f>
        <v/>
      </c>
      <c r="H6" s="15" t="n"/>
      <c r="I6" s="15" t="n"/>
      <c r="J6" s="16" t="n"/>
    </row>
    <row r="7">
      <c r="A7" s="15" t="n"/>
      <c r="B7" s="16" t="n"/>
      <c r="C7" s="16" t="n"/>
      <c r="D7" s="15" t="n"/>
      <c r="E7" s="15" t="n"/>
      <c r="F7" s="15">
        <f>IFERROR(VLOOKUP(D7, Config!A:B, 2, FALSE), "")</f>
        <v/>
      </c>
      <c r="G7" s="15">
        <f>IF(E7="", "", WORKDAY(E7, F7))</f>
        <v/>
      </c>
      <c r="H7" s="15" t="n"/>
      <c r="I7" s="15" t="n"/>
      <c r="J7" s="16" t="n"/>
    </row>
    <row r="8">
      <c r="A8" s="15" t="n"/>
      <c r="B8" s="16" t="n"/>
      <c r="C8" s="16" t="n"/>
      <c r="D8" s="15" t="n"/>
      <c r="E8" s="15" t="n"/>
      <c r="F8" s="15">
        <f>IFERROR(VLOOKUP(D8, Config!A:B, 2, FALSE), "")</f>
        <v/>
      </c>
      <c r="G8" s="15">
        <f>IF(E8="", "", WORKDAY(E8, F8))</f>
        <v/>
      </c>
      <c r="H8" s="15" t="n"/>
      <c r="I8" s="15" t="n"/>
      <c r="J8" s="16" t="n"/>
    </row>
    <row r="9">
      <c r="A9" s="15" t="n"/>
      <c r="B9" s="16" t="n"/>
      <c r="C9" s="16" t="n"/>
      <c r="D9" s="15" t="n"/>
      <c r="E9" s="15" t="n"/>
      <c r="F9" s="15">
        <f>IFERROR(VLOOKUP(D9, Config!A:B, 2, FALSE), "")</f>
        <v/>
      </c>
      <c r="G9" s="15">
        <f>IF(E9="", "", WORKDAY(E9, F9))</f>
        <v/>
      </c>
      <c r="H9" s="15" t="n"/>
      <c r="I9" s="15" t="n"/>
      <c r="J9" s="16" t="n"/>
    </row>
    <row r="10">
      <c r="A10" s="15" t="n"/>
      <c r="B10" s="16" t="n"/>
      <c r="C10" s="16" t="n"/>
      <c r="D10" s="15" t="n"/>
      <c r="E10" s="15" t="n"/>
      <c r="F10" s="15">
        <f>IFERROR(VLOOKUP(D10, Config!A:B, 2, FALSE), "")</f>
        <v/>
      </c>
      <c r="G10" s="15">
        <f>IF(E10="", "", WORKDAY(E10, F10))</f>
        <v/>
      </c>
      <c r="H10" s="15" t="n"/>
      <c r="I10" s="15" t="n"/>
      <c r="J10" s="16" t="n"/>
    </row>
    <row r="11">
      <c r="A11" s="15" t="n"/>
      <c r="B11" s="16" t="n"/>
      <c r="C11" s="16" t="n"/>
      <c r="D11" s="15" t="n"/>
      <c r="E11" s="15" t="n"/>
      <c r="F11" s="15">
        <f>IFERROR(VLOOKUP(D11, Config!A:B, 2, FALSE), "")</f>
        <v/>
      </c>
      <c r="G11" s="15">
        <f>IF(E11="", "", WORKDAY(E11, F11))</f>
        <v/>
      </c>
      <c r="H11" s="15" t="n"/>
      <c r="I11" s="15" t="n"/>
      <c r="J11" s="16" t="n"/>
    </row>
    <row r="12">
      <c r="A12" s="15" t="n"/>
      <c r="B12" s="16" t="n"/>
      <c r="C12" s="16" t="n"/>
      <c r="D12" s="15" t="n"/>
      <c r="E12" s="15" t="n"/>
      <c r="F12" s="15">
        <f>IFERROR(VLOOKUP(D12, Config!A:B, 2, FALSE), "")</f>
        <v/>
      </c>
      <c r="G12" s="15">
        <f>IF(E12="", "", WORKDAY(E12, F12))</f>
        <v/>
      </c>
      <c r="H12" s="15" t="n"/>
      <c r="I12" s="15" t="n"/>
      <c r="J12" s="16" t="n"/>
    </row>
    <row r="13">
      <c r="A13" s="15" t="n"/>
      <c r="B13" s="16" t="n"/>
      <c r="C13" s="16" t="n"/>
      <c r="D13" s="15" t="n"/>
      <c r="E13" s="15" t="n"/>
      <c r="F13" s="15">
        <f>IFERROR(VLOOKUP(D13, Config!A:B, 2, FALSE), "")</f>
        <v/>
      </c>
      <c r="G13" s="15">
        <f>IF(E13="", "", WORKDAY(E13, F13))</f>
        <v/>
      </c>
      <c r="H13" s="15" t="n"/>
      <c r="I13" s="15" t="n"/>
      <c r="J13" s="16" t="n"/>
    </row>
    <row r="14">
      <c r="A14" s="15" t="n"/>
      <c r="B14" s="16" t="n"/>
      <c r="C14" s="16" t="n"/>
      <c r="D14" s="15" t="n"/>
      <c r="E14" s="15" t="n"/>
      <c r="F14" s="15">
        <f>IFERROR(VLOOKUP(D14, Config!A:B, 2, FALSE), "")</f>
        <v/>
      </c>
      <c r="G14" s="15">
        <f>IF(E14="", "", WORKDAY(E14, F14))</f>
        <v/>
      </c>
      <c r="H14" s="15" t="n"/>
      <c r="I14" s="15" t="n"/>
      <c r="J14" s="16" t="n"/>
    </row>
    <row r="15">
      <c r="A15" s="15" t="n"/>
      <c r="B15" s="16" t="n"/>
      <c r="C15" s="16" t="n"/>
      <c r="D15" s="15" t="n"/>
      <c r="E15" s="15" t="n"/>
      <c r="F15" s="15">
        <f>IFERROR(VLOOKUP(D15, Config!A:B, 2, FALSE), "")</f>
        <v/>
      </c>
      <c r="G15" s="15">
        <f>IF(E15="", "", WORKDAY(E15, F15))</f>
        <v/>
      </c>
      <c r="H15" s="15" t="n"/>
      <c r="I15" s="15" t="n"/>
      <c r="J15" s="16" t="n"/>
    </row>
    <row r="16">
      <c r="A16" s="15" t="n"/>
      <c r="B16" s="16" t="n"/>
      <c r="C16" s="16" t="n"/>
      <c r="D16" s="15" t="n"/>
      <c r="E16" s="15" t="n"/>
      <c r="F16" s="15">
        <f>IFERROR(VLOOKUP(D16, Config!A:B, 2, FALSE), "")</f>
        <v/>
      </c>
      <c r="G16" s="15">
        <f>IF(E16="", "", WORKDAY(E16, F16))</f>
        <v/>
      </c>
      <c r="H16" s="15" t="n"/>
      <c r="I16" s="15" t="n"/>
      <c r="J16" s="16" t="n"/>
    </row>
    <row r="17">
      <c r="A17" s="15" t="n"/>
      <c r="B17" s="16" t="n"/>
      <c r="C17" s="16" t="n"/>
      <c r="D17" s="15" t="n"/>
      <c r="E17" s="15" t="n"/>
      <c r="F17" s="15">
        <f>IFERROR(VLOOKUP(D17, Config!A:B, 2, FALSE), "")</f>
        <v/>
      </c>
      <c r="G17" s="15">
        <f>IF(E17="", "", WORKDAY(E17, F17))</f>
        <v/>
      </c>
      <c r="H17" s="15" t="n"/>
      <c r="I17" s="15" t="n"/>
      <c r="J17" s="16" t="n"/>
    </row>
    <row r="18">
      <c r="A18" s="15" t="n"/>
      <c r="B18" s="16" t="n"/>
      <c r="C18" s="16" t="n"/>
      <c r="D18" s="15" t="n"/>
      <c r="E18" s="15" t="n"/>
      <c r="F18" s="15">
        <f>IFERROR(VLOOKUP(D18, Config!A:B, 2, FALSE), "")</f>
        <v/>
      </c>
      <c r="G18" s="15">
        <f>IF(E18="", "", WORKDAY(E18, F18))</f>
        <v/>
      </c>
      <c r="H18" s="15" t="n"/>
      <c r="I18" s="15" t="n"/>
      <c r="J18" s="16" t="n"/>
    </row>
    <row r="19">
      <c r="A19" s="15" t="n"/>
      <c r="B19" s="16" t="n"/>
      <c r="C19" s="16" t="n"/>
      <c r="D19" s="15" t="n"/>
      <c r="E19" s="15" t="n"/>
      <c r="F19" s="15">
        <f>IFERROR(VLOOKUP(D19, Config!A:B, 2, FALSE), "")</f>
        <v/>
      </c>
      <c r="G19" s="15">
        <f>IF(E19="", "", WORKDAY(E19, F19))</f>
        <v/>
      </c>
      <c r="H19" s="15" t="n"/>
      <c r="I19" s="15" t="n"/>
      <c r="J19" s="16" t="n"/>
    </row>
    <row r="20">
      <c r="A20" s="15" t="n"/>
      <c r="B20" s="16" t="n"/>
      <c r="C20" s="16" t="n"/>
      <c r="D20" s="15" t="n"/>
      <c r="E20" s="15" t="n"/>
      <c r="F20" s="15">
        <f>IFERROR(VLOOKUP(D20, Config!A:B, 2, FALSE), "")</f>
        <v/>
      </c>
      <c r="G20" s="15">
        <f>IF(E20="", "", WORKDAY(E20, F20))</f>
        <v/>
      </c>
      <c r="H20" s="15" t="n"/>
      <c r="I20" s="15" t="n"/>
      <c r="J20" s="16" t="n"/>
    </row>
    <row r="21">
      <c r="A21" s="15" t="n"/>
      <c r="B21" s="16" t="n"/>
      <c r="C21" s="16" t="n"/>
      <c r="D21" s="15" t="n"/>
      <c r="E21" s="15" t="n"/>
      <c r="F21" s="15">
        <f>IFERROR(VLOOKUP(D21, Config!A:B, 2, FALSE), "")</f>
        <v/>
      </c>
      <c r="G21" s="15">
        <f>IF(E21="", "", WORKDAY(E21, F21))</f>
        <v/>
      </c>
      <c r="H21" s="15" t="n"/>
      <c r="I21" s="15" t="n"/>
      <c r="J21" s="16" t="n"/>
    </row>
    <row r="22">
      <c r="A22" s="15" t="n"/>
      <c r="B22" s="16" t="n"/>
      <c r="C22" s="16" t="n"/>
      <c r="D22" s="15" t="n"/>
      <c r="E22" s="15" t="n"/>
      <c r="F22" s="15">
        <f>IFERROR(VLOOKUP(D22, Config!A:B, 2, FALSE), "")</f>
        <v/>
      </c>
      <c r="G22" s="15">
        <f>IF(E22="", "", WORKDAY(E22, F22))</f>
        <v/>
      </c>
      <c r="H22" s="15" t="n"/>
      <c r="I22" s="15" t="n"/>
      <c r="J22" s="16" t="n"/>
    </row>
    <row r="23">
      <c r="A23" s="15" t="n"/>
      <c r="B23" s="16" t="n"/>
      <c r="C23" s="16" t="n"/>
      <c r="D23" s="15" t="n"/>
      <c r="E23" s="15" t="n"/>
      <c r="F23" s="15">
        <f>IFERROR(VLOOKUP(D23, Config!A:B, 2, FALSE), "")</f>
        <v/>
      </c>
      <c r="G23" s="15">
        <f>IF(E23="", "", WORKDAY(E23, F23))</f>
        <v/>
      </c>
      <c r="H23" s="15" t="n"/>
      <c r="I23" s="15" t="n"/>
      <c r="J23" s="16" t="n"/>
    </row>
    <row r="24">
      <c r="A24" s="15" t="n"/>
      <c r="B24" s="16" t="n"/>
      <c r="C24" s="16" t="n"/>
      <c r="D24" s="15" t="n"/>
      <c r="E24" s="15" t="n"/>
      <c r="F24" s="15">
        <f>IFERROR(VLOOKUP(D24, Config!A:B, 2, FALSE), "")</f>
        <v/>
      </c>
      <c r="G24" s="15">
        <f>IF(E24="", "", WORKDAY(E24, F24))</f>
        <v/>
      </c>
      <c r="H24" s="15" t="n"/>
      <c r="I24" s="15" t="n"/>
      <c r="J24" s="16" t="n"/>
    </row>
    <row r="25">
      <c r="A25" s="15" t="n"/>
      <c r="B25" s="16" t="n"/>
      <c r="C25" s="16" t="n"/>
      <c r="D25" s="15" t="n"/>
      <c r="E25" s="15" t="n"/>
      <c r="F25" s="15">
        <f>IFERROR(VLOOKUP(D25, Config!A:B, 2, FALSE), "")</f>
        <v/>
      </c>
      <c r="G25" s="15">
        <f>IF(E25="", "", WORKDAY(E25, F25))</f>
        <v/>
      </c>
      <c r="H25" s="15" t="n"/>
      <c r="I25" s="15" t="n"/>
      <c r="J25" s="16" t="n"/>
    </row>
    <row r="26">
      <c r="A26" s="15" t="n"/>
      <c r="B26" s="16" t="n"/>
      <c r="C26" s="16" t="n"/>
      <c r="D26" s="15" t="n"/>
      <c r="E26" s="15" t="n"/>
      <c r="F26" s="15">
        <f>IFERROR(VLOOKUP(D26, Config!A:B, 2, FALSE), "")</f>
        <v/>
      </c>
      <c r="G26" s="15">
        <f>IF(E26="", "", WORKDAY(E26, F26))</f>
        <v/>
      </c>
      <c r="H26" s="15" t="n"/>
      <c r="I26" s="15" t="n"/>
      <c r="J26" s="16" t="n"/>
    </row>
    <row r="27">
      <c r="A27" s="15" t="n"/>
      <c r="B27" s="16" t="n"/>
      <c r="C27" s="16" t="n"/>
      <c r="D27" s="15" t="n"/>
      <c r="E27" s="15" t="n"/>
      <c r="F27" s="15">
        <f>IFERROR(VLOOKUP(D27, Config!A:B, 2, FALSE), "")</f>
        <v/>
      </c>
      <c r="G27" s="15">
        <f>IF(E27="", "", WORKDAY(E27, F27))</f>
        <v/>
      </c>
      <c r="H27" s="15" t="n"/>
      <c r="I27" s="15" t="n"/>
      <c r="J27" s="16" t="n"/>
    </row>
    <row r="28">
      <c r="A28" s="15" t="n"/>
      <c r="B28" s="16" t="n"/>
      <c r="C28" s="16" t="n"/>
      <c r="D28" s="15" t="n"/>
      <c r="E28" s="15" t="n"/>
      <c r="F28" s="15">
        <f>IFERROR(VLOOKUP(D28, Config!A:B, 2, FALSE), "")</f>
        <v/>
      </c>
      <c r="G28" s="15">
        <f>IF(E28="", "", WORKDAY(E28, F28))</f>
        <v/>
      </c>
      <c r="H28" s="15" t="n"/>
      <c r="I28" s="15" t="n"/>
      <c r="J28" s="16" t="n"/>
    </row>
    <row r="29">
      <c r="A29" s="15" t="n"/>
      <c r="B29" s="16" t="n"/>
      <c r="C29" s="16" t="n"/>
      <c r="D29" s="15" t="n"/>
      <c r="E29" s="15" t="n"/>
      <c r="F29" s="15">
        <f>IFERROR(VLOOKUP(D29, Config!A:B, 2, FALSE), "")</f>
        <v/>
      </c>
      <c r="G29" s="15">
        <f>IF(E29="", "", WORKDAY(E29, F29))</f>
        <v/>
      </c>
      <c r="H29" s="15" t="n"/>
      <c r="I29" s="15" t="n"/>
      <c r="J29" s="16" t="n"/>
    </row>
    <row r="30">
      <c r="A30" s="15" t="n"/>
      <c r="B30" s="16" t="n"/>
      <c r="C30" s="16" t="n"/>
      <c r="D30" s="15" t="n"/>
      <c r="E30" s="15" t="n"/>
      <c r="F30" s="15">
        <f>IFERROR(VLOOKUP(D30, Config!A:B, 2, FALSE), "")</f>
        <v/>
      </c>
      <c r="G30" s="15">
        <f>IF(E30="", "", WORKDAY(E30, F30))</f>
        <v/>
      </c>
      <c r="H30" s="15" t="n"/>
      <c r="I30" s="15" t="n"/>
      <c r="J30" s="16" t="n"/>
    </row>
    <row r="31">
      <c r="A31" s="15" t="n"/>
      <c r="B31" s="16" t="n"/>
      <c r="C31" s="16" t="n"/>
      <c r="D31" s="15" t="n"/>
      <c r="E31" s="15" t="n"/>
      <c r="F31" s="15">
        <f>IFERROR(VLOOKUP(D31, Config!A:B, 2, FALSE), "")</f>
        <v/>
      </c>
      <c r="G31" s="15">
        <f>IF(E31="", "", WORKDAY(E31, F31))</f>
        <v/>
      </c>
      <c r="H31" s="15" t="n"/>
      <c r="I31" s="15" t="n"/>
      <c r="J31" s="16" t="n"/>
    </row>
    <row r="32">
      <c r="A32" s="15" t="n"/>
      <c r="B32" s="16" t="n"/>
      <c r="C32" s="16" t="n"/>
      <c r="D32" s="15" t="n"/>
      <c r="E32" s="15" t="n"/>
      <c r="F32" s="15">
        <f>IFERROR(VLOOKUP(D32, Config!A:B, 2, FALSE), "")</f>
        <v/>
      </c>
      <c r="G32" s="15">
        <f>IF(E32="", "", WORKDAY(E32, F32))</f>
        <v/>
      </c>
      <c r="H32" s="15" t="n"/>
      <c r="I32" s="15" t="n"/>
      <c r="J32" s="16" t="n"/>
    </row>
    <row r="33">
      <c r="A33" s="15" t="n"/>
      <c r="B33" s="16" t="n"/>
      <c r="C33" s="16" t="n"/>
      <c r="D33" s="15" t="n"/>
      <c r="E33" s="15" t="n"/>
      <c r="F33" s="15">
        <f>IFERROR(VLOOKUP(D33, Config!A:B, 2, FALSE), "")</f>
        <v/>
      </c>
      <c r="G33" s="15">
        <f>IF(E33="", "", WORKDAY(E33, F33))</f>
        <v/>
      </c>
      <c r="H33" s="15" t="n"/>
      <c r="I33" s="15" t="n"/>
      <c r="J33" s="16" t="n"/>
    </row>
    <row r="34">
      <c r="A34" s="15" t="n"/>
      <c r="B34" s="16" t="n"/>
      <c r="C34" s="16" t="n"/>
      <c r="D34" s="15" t="n"/>
      <c r="E34" s="15" t="n"/>
      <c r="F34" s="15">
        <f>IFERROR(VLOOKUP(D34, Config!A:B, 2, FALSE), "")</f>
        <v/>
      </c>
      <c r="G34" s="15">
        <f>IF(E34="", "", WORKDAY(E34, F34))</f>
        <v/>
      </c>
      <c r="H34" s="15" t="n"/>
      <c r="I34" s="15" t="n"/>
      <c r="J34" s="16" t="n"/>
    </row>
    <row r="35">
      <c r="A35" s="15" t="n"/>
      <c r="B35" s="16" t="n"/>
      <c r="C35" s="16" t="n"/>
      <c r="D35" s="15" t="n"/>
      <c r="E35" s="15" t="n"/>
      <c r="F35" s="15">
        <f>IFERROR(VLOOKUP(D35, Config!A:B, 2, FALSE), "")</f>
        <v/>
      </c>
      <c r="G35" s="15">
        <f>IF(E35="", "", WORKDAY(E35, F35))</f>
        <v/>
      </c>
      <c r="H35" s="15" t="n"/>
      <c r="I35" s="15" t="n"/>
      <c r="J35" s="16" t="n"/>
    </row>
    <row r="36">
      <c r="A36" s="15" t="n"/>
      <c r="B36" s="16" t="n"/>
      <c r="C36" s="16" t="n"/>
      <c r="D36" s="15" t="n"/>
      <c r="E36" s="15" t="n"/>
      <c r="F36" s="15">
        <f>IFERROR(VLOOKUP(D36, Config!A:B, 2, FALSE), "")</f>
        <v/>
      </c>
      <c r="G36" s="15">
        <f>IF(E36="", "", WORKDAY(E36, F36))</f>
        <v/>
      </c>
      <c r="H36" s="15" t="n"/>
      <c r="I36" s="15" t="n"/>
      <c r="J36" s="16" t="n"/>
    </row>
    <row r="37">
      <c r="A37" s="15" t="n"/>
      <c r="B37" s="16" t="n"/>
      <c r="C37" s="16" t="n"/>
      <c r="D37" s="15" t="n"/>
      <c r="E37" s="15" t="n"/>
      <c r="F37" s="15">
        <f>IFERROR(VLOOKUP(D37, Config!A:B, 2, FALSE), "")</f>
        <v/>
      </c>
      <c r="G37" s="15">
        <f>IF(E37="", "", WORKDAY(E37, F37))</f>
        <v/>
      </c>
      <c r="H37" s="15" t="n"/>
      <c r="I37" s="15" t="n"/>
      <c r="J37" s="16" t="n"/>
    </row>
    <row r="38">
      <c r="A38" s="15" t="n"/>
      <c r="B38" s="16" t="n"/>
      <c r="C38" s="16" t="n"/>
      <c r="D38" s="15" t="n"/>
      <c r="E38" s="15" t="n"/>
      <c r="F38" s="15">
        <f>IFERROR(VLOOKUP(D38, Config!A:B, 2, FALSE), "")</f>
        <v/>
      </c>
      <c r="G38" s="15">
        <f>IF(E38="", "", WORKDAY(E38, F38))</f>
        <v/>
      </c>
      <c r="H38" s="15" t="n"/>
      <c r="I38" s="15" t="n"/>
      <c r="J38" s="16" t="n"/>
    </row>
    <row r="39">
      <c r="A39" s="15" t="n"/>
      <c r="B39" s="16" t="n"/>
      <c r="C39" s="16" t="n"/>
      <c r="D39" s="15" t="n"/>
      <c r="E39" s="15" t="n"/>
      <c r="F39" s="15">
        <f>IFERROR(VLOOKUP(D39, Config!A:B, 2, FALSE), "")</f>
        <v/>
      </c>
      <c r="G39" s="15">
        <f>IF(E39="", "", WORKDAY(E39, F39))</f>
        <v/>
      </c>
      <c r="H39" s="15" t="n"/>
      <c r="I39" s="15" t="n"/>
      <c r="J39" s="16" t="n"/>
    </row>
    <row r="40">
      <c r="A40" s="15" t="n"/>
      <c r="B40" s="16" t="n"/>
      <c r="C40" s="16" t="n"/>
      <c r="D40" s="15" t="n"/>
      <c r="E40" s="15" t="n"/>
      <c r="F40" s="15">
        <f>IFERROR(VLOOKUP(D40, Config!A:B, 2, FALSE), "")</f>
        <v/>
      </c>
      <c r="G40" s="15">
        <f>IF(E40="", "", WORKDAY(E40, F40))</f>
        <v/>
      </c>
      <c r="H40" s="15" t="n"/>
      <c r="I40" s="15" t="n"/>
      <c r="J40" s="16" t="n"/>
    </row>
    <row r="41">
      <c r="A41" s="15" t="n"/>
      <c r="B41" s="16" t="n"/>
      <c r="C41" s="16" t="n"/>
      <c r="D41" s="15" t="n"/>
      <c r="E41" s="15" t="n"/>
      <c r="F41" s="15">
        <f>IFERROR(VLOOKUP(D41, Config!A:B, 2, FALSE), "")</f>
        <v/>
      </c>
      <c r="G41" s="15">
        <f>IF(E41="", "", WORKDAY(E41, F41))</f>
        <v/>
      </c>
      <c r="H41" s="15" t="n"/>
      <c r="I41" s="15" t="n"/>
      <c r="J41" s="16" t="n"/>
    </row>
    <row r="42">
      <c r="A42" s="15" t="n"/>
      <c r="B42" s="16" t="n"/>
      <c r="C42" s="16" t="n"/>
      <c r="D42" s="15" t="n"/>
      <c r="E42" s="15" t="n"/>
      <c r="F42" s="15">
        <f>IFERROR(VLOOKUP(D42, Config!A:B, 2, FALSE), "")</f>
        <v/>
      </c>
      <c r="G42" s="15">
        <f>IF(E42="", "", WORKDAY(E42, F42))</f>
        <v/>
      </c>
      <c r="H42" s="15" t="n"/>
      <c r="I42" s="15" t="n"/>
      <c r="J42" s="16" t="n"/>
    </row>
    <row r="43">
      <c r="A43" s="15" t="n"/>
      <c r="B43" s="16" t="n"/>
      <c r="C43" s="16" t="n"/>
      <c r="D43" s="15" t="n"/>
      <c r="E43" s="15" t="n"/>
      <c r="F43" s="15">
        <f>IFERROR(VLOOKUP(D43, Config!A:B, 2, FALSE), "")</f>
        <v/>
      </c>
      <c r="G43" s="15">
        <f>IF(E43="", "", WORKDAY(E43, F43))</f>
        <v/>
      </c>
      <c r="H43" s="15" t="n"/>
      <c r="I43" s="15" t="n"/>
      <c r="J43" s="16" t="n"/>
    </row>
    <row r="44">
      <c r="A44" s="15" t="n"/>
      <c r="B44" s="16" t="n"/>
      <c r="C44" s="16" t="n"/>
      <c r="D44" s="15" t="n"/>
      <c r="E44" s="15" t="n"/>
      <c r="F44" s="15">
        <f>IFERROR(VLOOKUP(D44, Config!A:B, 2, FALSE), "")</f>
        <v/>
      </c>
      <c r="G44" s="15">
        <f>IF(E44="", "", WORKDAY(E44, F44))</f>
        <v/>
      </c>
      <c r="H44" s="15" t="n"/>
      <c r="I44" s="15" t="n"/>
      <c r="J44" s="16" t="n"/>
    </row>
    <row r="45">
      <c r="A45" s="15" t="n"/>
      <c r="B45" s="16" t="n"/>
      <c r="C45" s="16" t="n"/>
      <c r="D45" s="15" t="n"/>
      <c r="E45" s="15" t="n"/>
      <c r="F45" s="15">
        <f>IFERROR(VLOOKUP(D45, Config!A:B, 2, FALSE), "")</f>
        <v/>
      </c>
      <c r="G45" s="15">
        <f>IF(E45="", "", WORKDAY(E45, F45))</f>
        <v/>
      </c>
      <c r="H45" s="15" t="n"/>
      <c r="I45" s="15" t="n"/>
      <c r="J45" s="16" t="n"/>
    </row>
    <row r="46">
      <c r="A46" s="15" t="n"/>
      <c r="B46" s="16" t="n"/>
      <c r="C46" s="16" t="n"/>
      <c r="D46" s="15" t="n"/>
      <c r="E46" s="15" t="n"/>
      <c r="F46" s="15">
        <f>IFERROR(VLOOKUP(D46, Config!A:B, 2, FALSE), "")</f>
        <v/>
      </c>
      <c r="G46" s="15">
        <f>IF(E46="", "", WORKDAY(E46, F46))</f>
        <v/>
      </c>
      <c r="H46" s="15" t="n"/>
      <c r="I46" s="15" t="n"/>
      <c r="J46" s="16" t="n"/>
    </row>
    <row r="47">
      <c r="A47" s="15" t="n"/>
      <c r="B47" s="16" t="n"/>
      <c r="C47" s="16" t="n"/>
      <c r="D47" s="15" t="n"/>
      <c r="E47" s="15" t="n"/>
      <c r="F47" s="15">
        <f>IFERROR(VLOOKUP(D47, Config!A:B, 2, FALSE), "")</f>
        <v/>
      </c>
      <c r="G47" s="15">
        <f>IF(E47="", "", WORKDAY(E47, F47))</f>
        <v/>
      </c>
      <c r="H47" s="15" t="n"/>
      <c r="I47" s="15" t="n"/>
      <c r="J47" s="16" t="n"/>
    </row>
    <row r="48">
      <c r="A48" s="15" t="n"/>
      <c r="B48" s="16" t="n"/>
      <c r="C48" s="16" t="n"/>
      <c r="D48" s="15" t="n"/>
      <c r="E48" s="15" t="n"/>
      <c r="F48" s="15">
        <f>IFERROR(VLOOKUP(D48, Config!A:B, 2, FALSE), "")</f>
        <v/>
      </c>
      <c r="G48" s="15">
        <f>IF(E48="", "", WORKDAY(E48, F48))</f>
        <v/>
      </c>
      <c r="H48" s="15" t="n"/>
      <c r="I48" s="15" t="n"/>
      <c r="J48" s="16" t="n"/>
    </row>
    <row r="49">
      <c r="A49" s="15" t="n"/>
      <c r="B49" s="16" t="n"/>
      <c r="C49" s="16" t="n"/>
      <c r="D49" s="15" t="n"/>
      <c r="E49" s="15" t="n"/>
      <c r="F49" s="15">
        <f>IFERROR(VLOOKUP(D49, Config!A:B, 2, FALSE), "")</f>
        <v/>
      </c>
      <c r="G49" s="15">
        <f>IF(E49="", "", WORKDAY(E49, F49))</f>
        <v/>
      </c>
      <c r="H49" s="15" t="n"/>
      <c r="I49" s="15" t="n"/>
      <c r="J49" s="16" t="n"/>
    </row>
    <row r="50">
      <c r="A50" s="15" t="n"/>
      <c r="B50" s="16" t="n"/>
      <c r="C50" s="16" t="n"/>
      <c r="D50" s="15" t="n"/>
      <c r="E50" s="15" t="n"/>
      <c r="F50" s="15">
        <f>IFERROR(VLOOKUP(D50, Config!A:B, 2, FALSE), "")</f>
        <v/>
      </c>
      <c r="G50" s="15">
        <f>IF(E50="", "", WORKDAY(E50, F50))</f>
        <v/>
      </c>
      <c r="H50" s="15" t="n"/>
      <c r="I50" s="15" t="n"/>
      <c r="J50" s="16" t="n"/>
    </row>
    <row r="51">
      <c r="A51" s="15" t="n"/>
      <c r="B51" s="16" t="n"/>
      <c r="C51" s="16" t="n"/>
      <c r="D51" s="15" t="n"/>
      <c r="E51" s="15" t="n"/>
      <c r="F51" s="15">
        <f>IFERROR(VLOOKUP(D51, Config!A:B, 2, FALSE), "")</f>
        <v/>
      </c>
      <c r="G51" s="15">
        <f>IF(E51="", "", WORKDAY(E51, F51))</f>
        <v/>
      </c>
      <c r="H51" s="15" t="n"/>
      <c r="I51" s="15" t="n"/>
      <c r="J51" s="16" t="n"/>
    </row>
    <row r="52">
      <c r="A52" s="15" t="n"/>
      <c r="B52" s="16" t="n"/>
      <c r="C52" s="16" t="n"/>
      <c r="D52" s="15" t="n"/>
      <c r="E52" s="15" t="n"/>
      <c r="F52" s="15">
        <f>IFERROR(VLOOKUP(D52, Config!A:B, 2, FALSE), "")</f>
        <v/>
      </c>
      <c r="G52" s="15">
        <f>IF(E52="", "", WORKDAY(E52, F52))</f>
        <v/>
      </c>
      <c r="H52" s="15" t="n"/>
      <c r="I52" s="15" t="n"/>
      <c r="J52" s="16" t="n"/>
    </row>
    <row r="53">
      <c r="A53" s="15" t="n"/>
      <c r="B53" s="16" t="n"/>
      <c r="C53" s="16" t="n"/>
      <c r="D53" s="15" t="n"/>
      <c r="E53" s="15" t="n"/>
      <c r="F53" s="15">
        <f>IFERROR(VLOOKUP(D53, Config!A:B, 2, FALSE), "")</f>
        <v/>
      </c>
      <c r="G53" s="15">
        <f>IF(E53="", "", WORKDAY(E53, F53))</f>
        <v/>
      </c>
      <c r="H53" s="15" t="n"/>
      <c r="I53" s="15" t="n"/>
      <c r="J53" s="16" t="n"/>
    </row>
    <row r="54">
      <c r="A54" s="15" t="n"/>
      <c r="B54" s="16" t="n"/>
      <c r="C54" s="16" t="n"/>
      <c r="D54" s="15" t="n"/>
      <c r="E54" s="15" t="n"/>
      <c r="F54" s="15">
        <f>IFERROR(VLOOKUP(D54, Config!A:B, 2, FALSE), "")</f>
        <v/>
      </c>
      <c r="G54" s="15">
        <f>IF(E54="", "", WORKDAY(E54, F54))</f>
        <v/>
      </c>
      <c r="H54" s="15" t="n"/>
      <c r="I54" s="15" t="n"/>
      <c r="J54" s="16" t="n"/>
    </row>
    <row r="55">
      <c r="A55" s="15" t="n"/>
      <c r="B55" s="16" t="n"/>
      <c r="C55" s="16" t="n"/>
      <c r="D55" s="15" t="n"/>
      <c r="E55" s="15" t="n"/>
      <c r="F55" s="15">
        <f>IFERROR(VLOOKUP(D55, Config!A:B, 2, FALSE), "")</f>
        <v/>
      </c>
      <c r="G55" s="15">
        <f>IF(E55="", "", WORKDAY(E55, F55))</f>
        <v/>
      </c>
      <c r="H55" s="15" t="n"/>
      <c r="I55" s="15" t="n"/>
      <c r="J55" s="16" t="n"/>
    </row>
    <row r="56">
      <c r="A56" s="15" t="n"/>
      <c r="B56" s="16" t="n"/>
      <c r="C56" s="16" t="n"/>
      <c r="D56" s="15" t="n"/>
      <c r="E56" s="15" t="n"/>
      <c r="F56" s="15">
        <f>IFERROR(VLOOKUP(D56, Config!A:B, 2, FALSE), "")</f>
        <v/>
      </c>
      <c r="G56" s="15">
        <f>IF(E56="", "", WORKDAY(E56, F56))</f>
        <v/>
      </c>
      <c r="H56" s="15" t="n"/>
      <c r="I56" s="15" t="n"/>
      <c r="J56" s="16" t="n"/>
    </row>
    <row r="57">
      <c r="A57" s="15" t="n"/>
      <c r="B57" s="16" t="n"/>
      <c r="C57" s="16" t="n"/>
      <c r="D57" s="15" t="n"/>
      <c r="E57" s="15" t="n"/>
      <c r="F57" s="15">
        <f>IFERROR(VLOOKUP(D57, Config!A:B, 2, FALSE), "")</f>
        <v/>
      </c>
      <c r="G57" s="15">
        <f>IF(E57="", "", WORKDAY(E57, F57))</f>
        <v/>
      </c>
      <c r="H57" s="15" t="n"/>
      <c r="I57" s="15" t="n"/>
      <c r="J57" s="16" t="n"/>
    </row>
    <row r="58">
      <c r="A58" s="15" t="n"/>
      <c r="B58" s="16" t="n"/>
      <c r="C58" s="16" t="n"/>
      <c r="D58" s="15" t="n"/>
      <c r="E58" s="15" t="n"/>
      <c r="F58" s="15">
        <f>IFERROR(VLOOKUP(D58, Config!A:B, 2, FALSE), "")</f>
        <v/>
      </c>
      <c r="G58" s="15">
        <f>IF(E58="", "", WORKDAY(E58, F58))</f>
        <v/>
      </c>
      <c r="H58" s="15" t="n"/>
      <c r="I58" s="15" t="n"/>
      <c r="J58" s="16" t="n"/>
    </row>
    <row r="59">
      <c r="A59" s="15" t="n"/>
      <c r="B59" s="16" t="n"/>
      <c r="C59" s="16" t="n"/>
      <c r="D59" s="15" t="n"/>
      <c r="E59" s="15" t="n"/>
      <c r="F59" s="15">
        <f>IFERROR(VLOOKUP(D59, Config!A:B, 2, FALSE), "")</f>
        <v/>
      </c>
      <c r="G59" s="15">
        <f>IF(E59="", "", WORKDAY(E59, F59))</f>
        <v/>
      </c>
      <c r="H59" s="15" t="n"/>
      <c r="I59" s="15" t="n"/>
      <c r="J59" s="16" t="n"/>
    </row>
    <row r="60">
      <c r="A60" s="15" t="n"/>
      <c r="B60" s="16" t="n"/>
      <c r="C60" s="16" t="n"/>
      <c r="D60" s="15" t="n"/>
      <c r="E60" s="15" t="n"/>
      <c r="F60" s="15">
        <f>IFERROR(VLOOKUP(D60, Config!A:B, 2, FALSE), "")</f>
        <v/>
      </c>
      <c r="G60" s="15">
        <f>IF(E60="", "", WORKDAY(E60, F60))</f>
        <v/>
      </c>
      <c r="H60" s="15" t="n"/>
      <c r="I60" s="15" t="n"/>
      <c r="J60" s="16" t="n"/>
    </row>
    <row r="61">
      <c r="A61" s="15" t="n"/>
      <c r="B61" s="16" t="n"/>
      <c r="C61" s="16" t="n"/>
      <c r="D61" s="15" t="n"/>
      <c r="E61" s="15" t="n"/>
      <c r="F61" s="15">
        <f>IFERROR(VLOOKUP(D61, Config!A:B, 2, FALSE), "")</f>
        <v/>
      </c>
      <c r="G61" s="15">
        <f>IF(E61="", "", WORKDAY(E61, F61))</f>
        <v/>
      </c>
      <c r="H61" s="15" t="n"/>
      <c r="I61" s="15" t="n"/>
      <c r="J61" s="16" t="n"/>
    </row>
    <row r="62">
      <c r="A62" s="15" t="n"/>
      <c r="B62" s="16" t="n"/>
      <c r="C62" s="16" t="n"/>
      <c r="D62" s="15" t="n"/>
      <c r="E62" s="15" t="n"/>
      <c r="F62" s="15">
        <f>IFERROR(VLOOKUP(D62, Config!A:B, 2, FALSE), "")</f>
        <v/>
      </c>
      <c r="G62" s="15">
        <f>IF(E62="", "", WORKDAY(E62, F62))</f>
        <v/>
      </c>
      <c r="H62" s="15" t="n"/>
      <c r="I62" s="15" t="n"/>
      <c r="J62" s="16" t="n"/>
    </row>
    <row r="63">
      <c r="A63" s="15" t="n"/>
      <c r="B63" s="16" t="n"/>
      <c r="C63" s="16" t="n"/>
      <c r="D63" s="15" t="n"/>
      <c r="E63" s="15" t="n"/>
      <c r="F63" s="15">
        <f>IFERROR(VLOOKUP(D63, Config!A:B, 2, FALSE), "")</f>
        <v/>
      </c>
      <c r="G63" s="15">
        <f>IF(E63="", "", WORKDAY(E63, F63))</f>
        <v/>
      </c>
      <c r="H63" s="15" t="n"/>
      <c r="I63" s="15" t="n"/>
      <c r="J63" s="16" t="n"/>
    </row>
    <row r="64">
      <c r="A64" s="15" t="n"/>
      <c r="B64" s="16" t="n"/>
      <c r="C64" s="16" t="n"/>
      <c r="D64" s="15" t="n"/>
      <c r="E64" s="15" t="n"/>
      <c r="F64" s="15">
        <f>IFERROR(VLOOKUP(D64, Config!A:B, 2, FALSE), "")</f>
        <v/>
      </c>
      <c r="G64" s="15">
        <f>IF(E64="", "", WORKDAY(E64, F64))</f>
        <v/>
      </c>
      <c r="H64" s="15" t="n"/>
      <c r="I64" s="15" t="n"/>
      <c r="J64" s="16" t="n"/>
    </row>
    <row r="65">
      <c r="A65" s="15" t="n"/>
      <c r="B65" s="16" t="n"/>
      <c r="C65" s="16" t="n"/>
      <c r="D65" s="15" t="n"/>
      <c r="E65" s="15" t="n"/>
      <c r="F65" s="15">
        <f>IFERROR(VLOOKUP(D65, Config!A:B, 2, FALSE), "")</f>
        <v/>
      </c>
      <c r="G65" s="15">
        <f>IF(E65="", "", WORKDAY(E65, F65))</f>
        <v/>
      </c>
      <c r="H65" s="15" t="n"/>
      <c r="I65" s="15" t="n"/>
      <c r="J65" s="16" t="n"/>
    </row>
    <row r="66">
      <c r="A66" s="15" t="n"/>
      <c r="B66" s="16" t="n"/>
      <c r="C66" s="16" t="n"/>
      <c r="D66" s="15" t="n"/>
      <c r="E66" s="15" t="n"/>
      <c r="F66" s="15">
        <f>IFERROR(VLOOKUP(D66, Config!A:B, 2, FALSE), "")</f>
        <v/>
      </c>
      <c r="G66" s="15">
        <f>IF(E66="", "", WORKDAY(E66, F66))</f>
        <v/>
      </c>
      <c r="H66" s="15" t="n"/>
      <c r="I66" s="15" t="n"/>
      <c r="J66" s="16" t="n"/>
    </row>
    <row r="67">
      <c r="A67" s="15" t="n"/>
      <c r="B67" s="16" t="n"/>
      <c r="C67" s="16" t="n"/>
      <c r="D67" s="15" t="n"/>
      <c r="E67" s="15" t="n"/>
      <c r="F67" s="15">
        <f>IFERROR(VLOOKUP(D67, Config!A:B, 2, FALSE), "")</f>
        <v/>
      </c>
      <c r="G67" s="15">
        <f>IF(E67="", "", WORKDAY(E67, F67))</f>
        <v/>
      </c>
      <c r="H67" s="15" t="n"/>
      <c r="I67" s="15" t="n"/>
      <c r="J67" s="16" t="n"/>
    </row>
    <row r="68">
      <c r="A68" s="15" t="n"/>
      <c r="B68" s="16" t="n"/>
      <c r="C68" s="16" t="n"/>
      <c r="D68" s="15" t="n"/>
      <c r="E68" s="15" t="n"/>
      <c r="F68" s="15">
        <f>IFERROR(VLOOKUP(D68, Config!A:B, 2, FALSE), "")</f>
        <v/>
      </c>
      <c r="G68" s="15">
        <f>IF(E68="", "", WORKDAY(E68, F68))</f>
        <v/>
      </c>
      <c r="H68" s="15" t="n"/>
      <c r="I68" s="15" t="n"/>
      <c r="J68" s="16" t="n"/>
    </row>
    <row r="69">
      <c r="A69" s="15" t="n"/>
      <c r="B69" s="16" t="n"/>
      <c r="C69" s="16" t="n"/>
      <c r="D69" s="15" t="n"/>
      <c r="E69" s="15" t="n"/>
      <c r="F69" s="15">
        <f>IFERROR(VLOOKUP(D69, Config!A:B, 2, FALSE), "")</f>
        <v/>
      </c>
      <c r="G69" s="15">
        <f>IF(E69="", "", WORKDAY(E69, F69))</f>
        <v/>
      </c>
      <c r="H69" s="15" t="n"/>
      <c r="I69" s="15" t="n"/>
      <c r="J69" s="16" t="n"/>
    </row>
    <row r="70">
      <c r="A70" s="15" t="n"/>
      <c r="B70" s="16" t="n"/>
      <c r="C70" s="16" t="n"/>
      <c r="D70" s="15" t="n"/>
      <c r="E70" s="15" t="n"/>
      <c r="F70" s="15">
        <f>IFERROR(VLOOKUP(D70, Config!A:B, 2, FALSE), "")</f>
        <v/>
      </c>
      <c r="G70" s="15">
        <f>IF(E70="", "", WORKDAY(E70, F70))</f>
        <v/>
      </c>
      <c r="H70" s="15" t="n"/>
      <c r="I70" s="15" t="n"/>
      <c r="J70" s="16" t="n"/>
    </row>
    <row r="71">
      <c r="A71" s="15" t="n"/>
      <c r="B71" s="16" t="n"/>
      <c r="C71" s="16" t="n"/>
      <c r="D71" s="15" t="n"/>
      <c r="E71" s="15" t="n"/>
      <c r="F71" s="15">
        <f>IFERROR(VLOOKUP(D71, Config!A:B, 2, FALSE), "")</f>
        <v/>
      </c>
      <c r="G71" s="15">
        <f>IF(E71="", "", WORKDAY(E71, F71))</f>
        <v/>
      </c>
      <c r="H71" s="15" t="n"/>
      <c r="I71" s="15" t="n"/>
      <c r="J71" s="16" t="n"/>
    </row>
    <row r="72">
      <c r="A72" s="15" t="n"/>
      <c r="B72" s="16" t="n"/>
      <c r="C72" s="16" t="n"/>
      <c r="D72" s="15" t="n"/>
      <c r="E72" s="15" t="n"/>
      <c r="F72" s="15">
        <f>IFERROR(VLOOKUP(D72, Config!A:B, 2, FALSE), "")</f>
        <v/>
      </c>
      <c r="G72" s="15">
        <f>IF(E72="", "", WORKDAY(E72, F72))</f>
        <v/>
      </c>
      <c r="H72" s="15" t="n"/>
      <c r="I72" s="15" t="n"/>
      <c r="J72" s="16" t="n"/>
    </row>
    <row r="73">
      <c r="A73" s="15" t="n"/>
      <c r="B73" s="16" t="n"/>
      <c r="C73" s="16" t="n"/>
      <c r="D73" s="15" t="n"/>
      <c r="E73" s="15" t="n"/>
      <c r="F73" s="15">
        <f>IFERROR(VLOOKUP(D73, Config!A:B, 2, FALSE), "")</f>
        <v/>
      </c>
      <c r="G73" s="15">
        <f>IF(E73="", "", WORKDAY(E73, F73))</f>
        <v/>
      </c>
      <c r="H73" s="15" t="n"/>
      <c r="I73" s="15" t="n"/>
      <c r="J73" s="16" t="n"/>
    </row>
    <row r="74">
      <c r="A74" s="15" t="n"/>
      <c r="B74" s="16" t="n"/>
      <c r="C74" s="16" t="n"/>
      <c r="D74" s="15" t="n"/>
      <c r="E74" s="15" t="n"/>
      <c r="F74" s="15">
        <f>IFERROR(VLOOKUP(D74, Config!A:B, 2, FALSE), "")</f>
        <v/>
      </c>
      <c r="G74" s="15">
        <f>IF(E74="", "", WORKDAY(E74, F74))</f>
        <v/>
      </c>
      <c r="H74" s="15" t="n"/>
      <c r="I74" s="15" t="n"/>
      <c r="J74" s="16" t="n"/>
    </row>
    <row r="75">
      <c r="A75" s="15" t="n"/>
      <c r="B75" s="16" t="n"/>
      <c r="C75" s="16" t="n"/>
      <c r="D75" s="15" t="n"/>
      <c r="E75" s="15" t="n"/>
      <c r="F75" s="15">
        <f>IFERROR(VLOOKUP(D75, Config!A:B, 2, FALSE), "")</f>
        <v/>
      </c>
      <c r="G75" s="15">
        <f>IF(E75="", "", WORKDAY(E75, F75))</f>
        <v/>
      </c>
      <c r="H75" s="15" t="n"/>
      <c r="I75" s="15" t="n"/>
      <c r="J75" s="16" t="n"/>
    </row>
    <row r="76">
      <c r="A76" s="15" t="n"/>
      <c r="B76" s="16" t="n"/>
      <c r="C76" s="16" t="n"/>
      <c r="D76" s="15" t="n"/>
      <c r="E76" s="15" t="n"/>
      <c r="F76" s="15">
        <f>IFERROR(VLOOKUP(D76, Config!A:B, 2, FALSE), "")</f>
        <v/>
      </c>
      <c r="G76" s="15">
        <f>IF(E76="", "", WORKDAY(E76, F76))</f>
        <v/>
      </c>
      <c r="H76" s="15" t="n"/>
      <c r="I76" s="15" t="n"/>
      <c r="J76" s="16" t="n"/>
    </row>
    <row r="77">
      <c r="A77" s="15" t="n"/>
      <c r="B77" s="16" t="n"/>
      <c r="C77" s="16" t="n"/>
      <c r="D77" s="15" t="n"/>
      <c r="E77" s="15" t="n"/>
      <c r="F77" s="15">
        <f>IFERROR(VLOOKUP(D77, Config!A:B, 2, FALSE), "")</f>
        <v/>
      </c>
      <c r="G77" s="15">
        <f>IF(E77="", "", WORKDAY(E77, F77))</f>
        <v/>
      </c>
      <c r="H77" s="15" t="n"/>
      <c r="I77" s="15" t="n"/>
      <c r="J77" s="16" t="n"/>
    </row>
    <row r="78">
      <c r="A78" s="15" t="n"/>
      <c r="B78" s="16" t="n"/>
      <c r="C78" s="16" t="n"/>
      <c r="D78" s="15" t="n"/>
      <c r="E78" s="15" t="n"/>
      <c r="F78" s="15">
        <f>IFERROR(VLOOKUP(D78, Config!A:B, 2, FALSE), "")</f>
        <v/>
      </c>
      <c r="G78" s="15">
        <f>IF(E78="", "", WORKDAY(E78, F78))</f>
        <v/>
      </c>
      <c r="H78" s="15" t="n"/>
      <c r="I78" s="15" t="n"/>
      <c r="J78" s="16" t="n"/>
    </row>
    <row r="79">
      <c r="A79" s="15" t="n"/>
      <c r="B79" s="16" t="n"/>
      <c r="C79" s="16" t="n"/>
      <c r="D79" s="15" t="n"/>
      <c r="E79" s="15" t="n"/>
      <c r="F79" s="15">
        <f>IFERROR(VLOOKUP(D79, Config!A:B, 2, FALSE), "")</f>
        <v/>
      </c>
      <c r="G79" s="15">
        <f>IF(E79="", "", WORKDAY(E79, F79))</f>
        <v/>
      </c>
      <c r="H79" s="15" t="n"/>
      <c r="I79" s="15" t="n"/>
      <c r="J79" s="16" t="n"/>
    </row>
    <row r="80">
      <c r="A80" s="15" t="n"/>
      <c r="B80" s="16" t="n"/>
      <c r="C80" s="16" t="n"/>
      <c r="D80" s="15" t="n"/>
      <c r="E80" s="15" t="n"/>
      <c r="F80" s="15">
        <f>IFERROR(VLOOKUP(D80, Config!A:B, 2, FALSE), "")</f>
        <v/>
      </c>
      <c r="G80" s="15">
        <f>IF(E80="", "", WORKDAY(E80, F80))</f>
        <v/>
      </c>
      <c r="H80" s="15" t="n"/>
      <c r="I80" s="15" t="n"/>
      <c r="J80" s="16" t="n"/>
    </row>
    <row r="81">
      <c r="A81" s="15" t="n"/>
      <c r="B81" s="16" t="n"/>
      <c r="C81" s="16" t="n"/>
      <c r="D81" s="15" t="n"/>
      <c r="E81" s="15" t="n"/>
      <c r="F81" s="15">
        <f>IFERROR(VLOOKUP(D81, Config!A:B, 2, FALSE), "")</f>
        <v/>
      </c>
      <c r="G81" s="15">
        <f>IF(E81="", "", WORKDAY(E81, F81))</f>
        <v/>
      </c>
      <c r="H81" s="15" t="n"/>
      <c r="I81" s="15" t="n"/>
      <c r="J81" s="16" t="n"/>
    </row>
    <row r="82">
      <c r="A82" s="15" t="n"/>
      <c r="B82" s="16" t="n"/>
      <c r="C82" s="16" t="n"/>
      <c r="D82" s="15" t="n"/>
      <c r="E82" s="15" t="n"/>
      <c r="F82" s="15">
        <f>IFERROR(VLOOKUP(D82, Config!A:B, 2, FALSE), "")</f>
        <v/>
      </c>
      <c r="G82" s="15">
        <f>IF(E82="", "", WORKDAY(E82, F82))</f>
        <v/>
      </c>
      <c r="H82" s="15" t="n"/>
      <c r="I82" s="15" t="n"/>
      <c r="J82" s="16" t="n"/>
    </row>
    <row r="83">
      <c r="A83" s="15" t="n"/>
      <c r="B83" s="16" t="n"/>
      <c r="C83" s="16" t="n"/>
      <c r="D83" s="15" t="n"/>
      <c r="E83" s="15" t="n"/>
      <c r="F83" s="15">
        <f>IFERROR(VLOOKUP(D83, Config!A:B, 2, FALSE), "")</f>
        <v/>
      </c>
      <c r="G83" s="15">
        <f>IF(E83="", "", WORKDAY(E83, F83))</f>
        <v/>
      </c>
      <c r="H83" s="15" t="n"/>
      <c r="I83" s="15" t="n"/>
      <c r="J83" s="16" t="n"/>
    </row>
    <row r="84">
      <c r="A84" s="15" t="n"/>
      <c r="B84" s="16" t="n"/>
      <c r="C84" s="16" t="n"/>
      <c r="D84" s="15" t="n"/>
      <c r="E84" s="15" t="n"/>
      <c r="F84" s="15">
        <f>IFERROR(VLOOKUP(D84, Config!A:B, 2, FALSE), "")</f>
        <v/>
      </c>
      <c r="G84" s="15">
        <f>IF(E84="", "", WORKDAY(E84, F84))</f>
        <v/>
      </c>
      <c r="H84" s="15" t="n"/>
      <c r="I84" s="15" t="n"/>
      <c r="J84" s="16" t="n"/>
    </row>
    <row r="85">
      <c r="A85" s="15" t="n"/>
      <c r="B85" s="16" t="n"/>
      <c r="C85" s="16" t="n"/>
      <c r="D85" s="15" t="n"/>
      <c r="E85" s="15" t="n"/>
      <c r="F85" s="15">
        <f>IFERROR(VLOOKUP(D85, Config!A:B, 2, FALSE), "")</f>
        <v/>
      </c>
      <c r="G85" s="15">
        <f>IF(E85="", "", WORKDAY(E85, F85))</f>
        <v/>
      </c>
      <c r="H85" s="15" t="n"/>
      <c r="I85" s="15" t="n"/>
      <c r="J85" s="16" t="n"/>
    </row>
    <row r="86">
      <c r="A86" s="15" t="n"/>
      <c r="B86" s="16" t="n"/>
      <c r="C86" s="16" t="n"/>
      <c r="D86" s="15" t="n"/>
      <c r="E86" s="15" t="n"/>
      <c r="F86" s="15">
        <f>IFERROR(VLOOKUP(D86, Config!A:B, 2, FALSE), "")</f>
        <v/>
      </c>
      <c r="G86" s="15">
        <f>IF(E86="", "", WORKDAY(E86, F86))</f>
        <v/>
      </c>
      <c r="H86" s="15" t="n"/>
      <c r="I86" s="15" t="n"/>
      <c r="J86" s="16" t="n"/>
    </row>
    <row r="87">
      <c r="A87" s="15" t="n"/>
      <c r="B87" s="16" t="n"/>
      <c r="C87" s="16" t="n"/>
      <c r="D87" s="15" t="n"/>
      <c r="E87" s="15" t="n"/>
      <c r="F87" s="15">
        <f>IFERROR(VLOOKUP(D87, Config!A:B, 2, FALSE), "")</f>
        <v/>
      </c>
      <c r="G87" s="15">
        <f>IF(E87="", "", WORKDAY(E87, F87))</f>
        <v/>
      </c>
      <c r="H87" s="15" t="n"/>
      <c r="I87" s="15" t="n"/>
      <c r="J87" s="16" t="n"/>
    </row>
    <row r="88">
      <c r="A88" s="15" t="n"/>
      <c r="B88" s="16" t="n"/>
      <c r="C88" s="16" t="n"/>
      <c r="D88" s="15" t="n"/>
      <c r="E88" s="15" t="n"/>
      <c r="F88" s="15">
        <f>IFERROR(VLOOKUP(D88, Config!A:B, 2, FALSE), "")</f>
        <v/>
      </c>
      <c r="G88" s="15">
        <f>IF(E88="", "", WORKDAY(E88, F88))</f>
        <v/>
      </c>
      <c r="H88" s="15" t="n"/>
      <c r="I88" s="15" t="n"/>
      <c r="J88" s="16" t="n"/>
    </row>
    <row r="89">
      <c r="A89" s="15" t="n"/>
      <c r="B89" s="16" t="n"/>
      <c r="C89" s="16" t="n"/>
      <c r="D89" s="15" t="n"/>
      <c r="E89" s="15" t="n"/>
      <c r="F89" s="15">
        <f>IFERROR(VLOOKUP(D89, Config!A:B, 2, FALSE), "")</f>
        <v/>
      </c>
      <c r="G89" s="15">
        <f>IF(E89="", "", WORKDAY(E89, F89))</f>
        <v/>
      </c>
      <c r="H89" s="15" t="n"/>
      <c r="I89" s="15" t="n"/>
      <c r="J89" s="16" t="n"/>
    </row>
    <row r="90">
      <c r="A90" s="15" t="n"/>
      <c r="B90" s="16" t="n"/>
      <c r="C90" s="16" t="n"/>
      <c r="D90" s="15" t="n"/>
      <c r="E90" s="15" t="n"/>
      <c r="F90" s="15">
        <f>IFERROR(VLOOKUP(D90, Config!A:B, 2, FALSE), "")</f>
        <v/>
      </c>
      <c r="G90" s="15">
        <f>IF(E90="", "", WORKDAY(E90, F90))</f>
        <v/>
      </c>
      <c r="H90" s="15" t="n"/>
      <c r="I90" s="15" t="n"/>
      <c r="J90" s="16" t="n"/>
    </row>
    <row r="91">
      <c r="A91" s="15" t="n"/>
      <c r="B91" s="16" t="n"/>
      <c r="C91" s="16" t="n"/>
      <c r="D91" s="15" t="n"/>
      <c r="E91" s="15" t="n"/>
      <c r="F91" s="15">
        <f>IFERROR(VLOOKUP(D91, Config!A:B, 2, FALSE), "")</f>
        <v/>
      </c>
      <c r="G91" s="15">
        <f>IF(E91="", "", WORKDAY(E91, F91))</f>
        <v/>
      </c>
      <c r="H91" s="15" t="n"/>
      <c r="I91" s="15" t="n"/>
      <c r="J91" s="16" t="n"/>
    </row>
    <row r="92">
      <c r="A92" s="15" t="n"/>
      <c r="B92" s="16" t="n"/>
      <c r="C92" s="16" t="n"/>
      <c r="D92" s="15" t="n"/>
      <c r="E92" s="15" t="n"/>
      <c r="F92" s="15">
        <f>IFERROR(VLOOKUP(D92, Config!A:B, 2, FALSE), "")</f>
        <v/>
      </c>
      <c r="G92" s="15">
        <f>IF(E92="", "", WORKDAY(E92, F92))</f>
        <v/>
      </c>
      <c r="H92" s="15" t="n"/>
      <c r="I92" s="15" t="n"/>
      <c r="J92" s="16" t="n"/>
    </row>
    <row r="93">
      <c r="A93" s="15" t="n"/>
      <c r="B93" s="16" t="n"/>
      <c r="C93" s="16" t="n"/>
      <c r="D93" s="15" t="n"/>
      <c r="E93" s="15" t="n"/>
      <c r="F93" s="15">
        <f>IFERROR(VLOOKUP(D93, Config!A:B, 2, FALSE), "")</f>
        <v/>
      </c>
      <c r="G93" s="15">
        <f>IF(E93="", "", WORKDAY(E93, F93))</f>
        <v/>
      </c>
      <c r="H93" s="15" t="n"/>
      <c r="I93" s="15" t="n"/>
      <c r="J93" s="16" t="n"/>
    </row>
    <row r="94">
      <c r="A94" s="15" t="n"/>
      <c r="B94" s="16" t="n"/>
      <c r="C94" s="16" t="n"/>
      <c r="D94" s="15" t="n"/>
      <c r="E94" s="15" t="n"/>
      <c r="F94" s="15">
        <f>IFERROR(VLOOKUP(D94, Config!A:B, 2, FALSE), "")</f>
        <v/>
      </c>
      <c r="G94" s="15">
        <f>IF(E94="", "", WORKDAY(E94, F94))</f>
        <v/>
      </c>
      <c r="H94" s="15" t="n"/>
      <c r="I94" s="15" t="n"/>
      <c r="J94" s="16" t="n"/>
    </row>
    <row r="95">
      <c r="A95" s="15" t="n"/>
      <c r="B95" s="16" t="n"/>
      <c r="C95" s="16" t="n"/>
      <c r="D95" s="15" t="n"/>
      <c r="E95" s="15" t="n"/>
      <c r="F95" s="15">
        <f>IFERROR(VLOOKUP(D95, Config!A:B, 2, FALSE), "")</f>
        <v/>
      </c>
      <c r="G95" s="15">
        <f>IF(E95="", "", WORKDAY(E95, F95))</f>
        <v/>
      </c>
      <c r="H95" s="15" t="n"/>
      <c r="I95" s="15" t="n"/>
      <c r="J95" s="16" t="n"/>
    </row>
    <row r="96">
      <c r="A96" s="15" t="n"/>
      <c r="B96" s="16" t="n"/>
      <c r="C96" s="16" t="n"/>
      <c r="D96" s="15" t="n"/>
      <c r="E96" s="15" t="n"/>
      <c r="F96" s="15">
        <f>IFERROR(VLOOKUP(D96, Config!A:B, 2, FALSE), "")</f>
        <v/>
      </c>
      <c r="G96" s="15">
        <f>IF(E96="", "", WORKDAY(E96, F96))</f>
        <v/>
      </c>
      <c r="H96" s="15" t="n"/>
      <c r="I96" s="15" t="n"/>
      <c r="J96" s="16" t="n"/>
    </row>
    <row r="97">
      <c r="A97" s="15" t="n"/>
      <c r="B97" s="16" t="n"/>
      <c r="C97" s="16" t="n"/>
      <c r="D97" s="15" t="n"/>
      <c r="E97" s="15" t="n"/>
      <c r="F97" s="15">
        <f>IFERROR(VLOOKUP(D97, Config!A:B, 2, FALSE), "")</f>
        <v/>
      </c>
      <c r="G97" s="15">
        <f>IF(E97="", "", WORKDAY(E97, F97))</f>
        <v/>
      </c>
      <c r="H97" s="15" t="n"/>
      <c r="I97" s="15" t="n"/>
      <c r="J97" s="16" t="n"/>
    </row>
    <row r="98">
      <c r="A98" s="15" t="n"/>
      <c r="B98" s="16" t="n"/>
      <c r="C98" s="16" t="n"/>
      <c r="D98" s="15" t="n"/>
      <c r="E98" s="15" t="n"/>
      <c r="F98" s="15">
        <f>IFERROR(VLOOKUP(D98, Config!A:B, 2, FALSE), "")</f>
        <v/>
      </c>
      <c r="G98" s="15">
        <f>IF(E98="", "", WORKDAY(E98, F98))</f>
        <v/>
      </c>
      <c r="H98" s="15" t="n"/>
      <c r="I98" s="15" t="n"/>
      <c r="J98" s="16" t="n"/>
    </row>
    <row r="99">
      <c r="A99" s="15" t="n"/>
      <c r="B99" s="16" t="n"/>
      <c r="C99" s="16" t="n"/>
      <c r="D99" s="15" t="n"/>
      <c r="E99" s="15" t="n"/>
      <c r="F99" s="15">
        <f>IFERROR(VLOOKUP(D99, Config!A:B, 2, FALSE), "")</f>
        <v/>
      </c>
      <c r="G99" s="15">
        <f>IF(E99="", "", WORKDAY(E99, F99))</f>
        <v/>
      </c>
      <c r="H99" s="15" t="n"/>
      <c r="I99" s="15" t="n"/>
      <c r="J99" s="16" t="n"/>
    </row>
    <row r="100">
      <c r="A100" s="15" t="n"/>
      <c r="B100" s="16" t="n"/>
      <c r="C100" s="16" t="n"/>
      <c r="D100" s="15" t="n"/>
      <c r="E100" s="15" t="n"/>
      <c r="F100" s="15">
        <f>IFERROR(VLOOKUP(D100, Config!A:B, 2, FALSE), "")</f>
        <v/>
      </c>
      <c r="G100" s="15">
        <f>IF(E100="", "", WORKDAY(E100, F100))</f>
        <v/>
      </c>
      <c r="H100" s="15" t="n"/>
      <c r="I100" s="15" t="n"/>
      <c r="J100" s="16" t="n"/>
    </row>
  </sheetData>
  <conditionalFormatting sqref="D2:D1000">
    <cfRule type="cellIs" priority="1" operator="equal" dxfId="3">
      <formula>"Baixa"</formula>
    </cfRule>
    <cfRule type="cellIs" priority="2" operator="equal" dxfId="4">
      <formula>"Média"</formula>
    </cfRule>
    <cfRule type="cellIs" priority="3" operator="equal" dxfId="5">
      <formula>"Alta"</formula>
    </cfRule>
  </conditionalFormatting>
  <conditionalFormatting sqref="H2:H1000">
    <cfRule type="cellIs" priority="4" operator="equal" dxfId="3">
      <formula>"Finalizada"</formula>
    </cfRule>
  </conditionalFormatting>
  <dataValidations count="2">
    <dataValidation sqref="D2:D1000" showDropDown="1" showInputMessage="0" showErrorMessage="0" allowBlank="0" type="list">
      <formula1>"Baixa,Média,Alta"</formula1>
    </dataValidation>
    <dataValidation sqref="H2:H1000" showDropDown="1" showInputMessage="0" showErrorMessage="0" allowBlank="0" type="list">
      <formula1>"Pendente,Em Andamento,Finalizada"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25" customWidth="1" min="10" max="10"/>
  </cols>
  <sheetData>
    <row r="1">
      <c r="A1" s="14" t="inlineStr">
        <is>
          <t>ID</t>
        </is>
      </c>
      <c r="B1" s="14" t="inlineStr">
        <is>
          <t>Cliente</t>
        </is>
      </c>
      <c r="C1" s="14" t="inlineStr">
        <is>
          <t>Tipo de Ação</t>
        </is>
      </c>
      <c r="D1" s="14" t="inlineStr">
        <is>
          <t>Complexidade</t>
        </is>
      </c>
      <c r="E1" s="14" t="inlineStr">
        <is>
          <t>Data Envio Doc</t>
        </is>
      </c>
      <c r="F1" s="14" t="inlineStr">
        <is>
          <t>Prazo (Dias)</t>
        </is>
      </c>
      <c r="G1" s="14" t="inlineStr">
        <is>
          <t>Prazo Fatal</t>
        </is>
      </c>
      <c r="H1" s="14" t="inlineStr">
        <is>
          <t>Status</t>
        </is>
      </c>
      <c r="I1" s="14" t="inlineStr">
        <is>
          <t>Data Protocolo</t>
        </is>
      </c>
      <c r="J1" s="14" t="inlineStr">
        <is>
          <t>Advogado Responsável</t>
        </is>
      </c>
    </row>
    <row r="2">
      <c r="A2" s="15" t="n"/>
      <c r="B2" s="16" t="n"/>
      <c r="C2" s="16" t="n"/>
      <c r="D2" s="15" t="n"/>
      <c r="E2" s="15" t="n"/>
      <c r="F2" s="15">
        <f>IFERROR(VLOOKUP(D2, Config!A:B, 2, FALSE), "")</f>
        <v/>
      </c>
      <c r="G2" s="15">
        <f>IF(E2="", "", WORKDAY(E2, F2))</f>
        <v/>
      </c>
      <c r="H2" s="15" t="n"/>
      <c r="I2" s="15" t="n"/>
      <c r="J2" s="16" t="n"/>
    </row>
    <row r="3">
      <c r="A3" s="15" t="n"/>
      <c r="B3" s="16" t="n"/>
      <c r="C3" s="16" t="n"/>
      <c r="D3" s="15" t="n"/>
      <c r="E3" s="15" t="n"/>
      <c r="F3" s="15">
        <f>IFERROR(VLOOKUP(D3, Config!A:B, 2, FALSE), "")</f>
        <v/>
      </c>
      <c r="G3" s="15">
        <f>IF(E3="", "", WORKDAY(E3, F3))</f>
        <v/>
      </c>
      <c r="H3" s="15" t="n"/>
      <c r="I3" s="15" t="n"/>
      <c r="J3" s="16" t="n"/>
    </row>
    <row r="4">
      <c r="A4" s="15" t="n"/>
      <c r="B4" s="16" t="n"/>
      <c r="C4" s="16" t="n"/>
      <c r="D4" s="15" t="n"/>
      <c r="E4" s="15" t="n"/>
      <c r="F4" s="15">
        <f>IFERROR(VLOOKUP(D4, Config!A:B, 2, FALSE), "")</f>
        <v/>
      </c>
      <c r="G4" s="15">
        <f>IF(E4="", "", WORKDAY(E4, F4))</f>
        <v/>
      </c>
      <c r="H4" s="15" t="n"/>
      <c r="I4" s="15" t="n"/>
      <c r="J4" s="16" t="n"/>
    </row>
    <row r="5">
      <c r="A5" s="15" t="n"/>
      <c r="B5" s="16" t="n"/>
      <c r="C5" s="16" t="n"/>
      <c r="D5" s="15" t="n"/>
      <c r="E5" s="15" t="n"/>
      <c r="F5" s="15">
        <f>IFERROR(VLOOKUP(D5, Config!A:B, 2, FALSE), "")</f>
        <v/>
      </c>
      <c r="G5" s="15">
        <f>IF(E5="", "", WORKDAY(E5, F5))</f>
        <v/>
      </c>
      <c r="H5" s="15" t="n"/>
      <c r="I5" s="15" t="n"/>
      <c r="J5" s="16" t="n"/>
    </row>
    <row r="6">
      <c r="A6" s="15" t="n"/>
      <c r="B6" s="16" t="n"/>
      <c r="C6" s="16" t="n"/>
      <c r="D6" s="15" t="n"/>
      <c r="E6" s="15" t="n"/>
      <c r="F6" s="15">
        <f>IFERROR(VLOOKUP(D6, Config!A:B, 2, FALSE), "")</f>
        <v/>
      </c>
      <c r="G6" s="15">
        <f>IF(E6="", "", WORKDAY(E6, F6))</f>
        <v/>
      </c>
      <c r="H6" s="15" t="n"/>
      <c r="I6" s="15" t="n"/>
      <c r="J6" s="16" t="n"/>
    </row>
    <row r="7">
      <c r="A7" s="15" t="n"/>
      <c r="B7" s="16" t="n"/>
      <c r="C7" s="16" t="n"/>
      <c r="D7" s="15" t="n"/>
      <c r="E7" s="15" t="n"/>
      <c r="F7" s="15">
        <f>IFERROR(VLOOKUP(D7, Config!A:B, 2, FALSE), "")</f>
        <v/>
      </c>
      <c r="G7" s="15">
        <f>IF(E7="", "", WORKDAY(E7, F7))</f>
        <v/>
      </c>
      <c r="H7" s="15" t="n"/>
      <c r="I7" s="15" t="n"/>
      <c r="J7" s="16" t="n"/>
    </row>
    <row r="8">
      <c r="A8" s="15" t="n"/>
      <c r="B8" s="16" t="n"/>
      <c r="C8" s="16" t="n"/>
      <c r="D8" s="15" t="n"/>
      <c r="E8" s="15" t="n"/>
      <c r="F8" s="15">
        <f>IFERROR(VLOOKUP(D8, Config!A:B, 2, FALSE), "")</f>
        <v/>
      </c>
      <c r="G8" s="15">
        <f>IF(E8="", "", WORKDAY(E8, F8))</f>
        <v/>
      </c>
      <c r="H8" s="15" t="n"/>
      <c r="I8" s="15" t="n"/>
      <c r="J8" s="16" t="n"/>
    </row>
    <row r="9">
      <c r="A9" s="15" t="n"/>
      <c r="B9" s="16" t="n"/>
      <c r="C9" s="16" t="n"/>
      <c r="D9" s="15" t="n"/>
      <c r="E9" s="15" t="n"/>
      <c r="F9" s="15">
        <f>IFERROR(VLOOKUP(D9, Config!A:B, 2, FALSE), "")</f>
        <v/>
      </c>
      <c r="G9" s="15">
        <f>IF(E9="", "", WORKDAY(E9, F9))</f>
        <v/>
      </c>
      <c r="H9" s="15" t="n"/>
      <c r="I9" s="15" t="n"/>
      <c r="J9" s="16" t="n"/>
    </row>
    <row r="10">
      <c r="A10" s="15" t="n"/>
      <c r="B10" s="16" t="n"/>
      <c r="C10" s="16" t="n"/>
      <c r="D10" s="15" t="n"/>
      <c r="E10" s="15" t="n"/>
      <c r="F10" s="15">
        <f>IFERROR(VLOOKUP(D10, Config!A:B, 2, FALSE), "")</f>
        <v/>
      </c>
      <c r="G10" s="15">
        <f>IF(E10="", "", WORKDAY(E10, F10))</f>
        <v/>
      </c>
      <c r="H10" s="15" t="n"/>
      <c r="I10" s="15" t="n"/>
      <c r="J10" s="16" t="n"/>
    </row>
    <row r="11">
      <c r="A11" s="15" t="n"/>
      <c r="B11" s="16" t="n"/>
      <c r="C11" s="16" t="n"/>
      <c r="D11" s="15" t="n"/>
      <c r="E11" s="15" t="n"/>
      <c r="F11" s="15">
        <f>IFERROR(VLOOKUP(D11, Config!A:B, 2, FALSE), "")</f>
        <v/>
      </c>
      <c r="G11" s="15">
        <f>IF(E11="", "", WORKDAY(E11, F11))</f>
        <v/>
      </c>
      <c r="H11" s="15" t="n"/>
      <c r="I11" s="15" t="n"/>
      <c r="J11" s="16" t="n"/>
    </row>
    <row r="12">
      <c r="A12" s="15" t="n"/>
      <c r="B12" s="16" t="n"/>
      <c r="C12" s="16" t="n"/>
      <c r="D12" s="15" t="n"/>
      <c r="E12" s="15" t="n"/>
      <c r="F12" s="15">
        <f>IFERROR(VLOOKUP(D12, Config!A:B, 2, FALSE), "")</f>
        <v/>
      </c>
      <c r="G12" s="15">
        <f>IF(E12="", "", WORKDAY(E12, F12))</f>
        <v/>
      </c>
      <c r="H12" s="15" t="n"/>
      <c r="I12" s="15" t="n"/>
      <c r="J12" s="16" t="n"/>
    </row>
    <row r="13">
      <c r="A13" s="15" t="n"/>
      <c r="B13" s="16" t="n"/>
      <c r="C13" s="16" t="n"/>
      <c r="D13" s="15" t="n"/>
      <c r="E13" s="15" t="n"/>
      <c r="F13" s="15">
        <f>IFERROR(VLOOKUP(D13, Config!A:B, 2, FALSE), "")</f>
        <v/>
      </c>
      <c r="G13" s="15">
        <f>IF(E13="", "", WORKDAY(E13, F13))</f>
        <v/>
      </c>
      <c r="H13" s="15" t="n"/>
      <c r="I13" s="15" t="n"/>
      <c r="J13" s="16" t="n"/>
    </row>
    <row r="14">
      <c r="A14" s="15" t="n"/>
      <c r="B14" s="16" t="n"/>
      <c r="C14" s="16" t="n"/>
      <c r="D14" s="15" t="n"/>
      <c r="E14" s="15" t="n"/>
      <c r="F14" s="15">
        <f>IFERROR(VLOOKUP(D14, Config!A:B, 2, FALSE), "")</f>
        <v/>
      </c>
      <c r="G14" s="15">
        <f>IF(E14="", "", WORKDAY(E14, F14))</f>
        <v/>
      </c>
      <c r="H14" s="15" t="n"/>
      <c r="I14" s="15" t="n"/>
      <c r="J14" s="16" t="n"/>
    </row>
    <row r="15">
      <c r="A15" s="15" t="n"/>
      <c r="B15" s="16" t="n"/>
      <c r="C15" s="16" t="n"/>
      <c r="D15" s="15" t="n"/>
      <c r="E15" s="15" t="n"/>
      <c r="F15" s="15">
        <f>IFERROR(VLOOKUP(D15, Config!A:B, 2, FALSE), "")</f>
        <v/>
      </c>
      <c r="G15" s="15">
        <f>IF(E15="", "", WORKDAY(E15, F15))</f>
        <v/>
      </c>
      <c r="H15" s="15" t="n"/>
      <c r="I15" s="15" t="n"/>
      <c r="J15" s="16" t="n"/>
    </row>
    <row r="16">
      <c r="A16" s="15" t="n"/>
      <c r="B16" s="16" t="n"/>
      <c r="C16" s="16" t="n"/>
      <c r="D16" s="15" t="n"/>
      <c r="E16" s="15" t="n"/>
      <c r="F16" s="15">
        <f>IFERROR(VLOOKUP(D16, Config!A:B, 2, FALSE), "")</f>
        <v/>
      </c>
      <c r="G16" s="15">
        <f>IF(E16="", "", WORKDAY(E16, F16))</f>
        <v/>
      </c>
      <c r="H16" s="15" t="n"/>
      <c r="I16" s="15" t="n"/>
      <c r="J16" s="16" t="n"/>
    </row>
    <row r="17">
      <c r="A17" s="15" t="n"/>
      <c r="B17" s="16" t="n"/>
      <c r="C17" s="16" t="n"/>
      <c r="D17" s="15" t="n"/>
      <c r="E17" s="15" t="n"/>
      <c r="F17" s="15">
        <f>IFERROR(VLOOKUP(D17, Config!A:B, 2, FALSE), "")</f>
        <v/>
      </c>
      <c r="G17" s="15">
        <f>IF(E17="", "", WORKDAY(E17, F17))</f>
        <v/>
      </c>
      <c r="H17" s="15" t="n"/>
      <c r="I17" s="15" t="n"/>
      <c r="J17" s="16" t="n"/>
    </row>
    <row r="18">
      <c r="A18" s="15" t="n"/>
      <c r="B18" s="16" t="n"/>
      <c r="C18" s="16" t="n"/>
      <c r="D18" s="15" t="n"/>
      <c r="E18" s="15" t="n"/>
      <c r="F18" s="15">
        <f>IFERROR(VLOOKUP(D18, Config!A:B, 2, FALSE), "")</f>
        <v/>
      </c>
      <c r="G18" s="15">
        <f>IF(E18="", "", WORKDAY(E18, F18))</f>
        <v/>
      </c>
      <c r="H18" s="15" t="n"/>
      <c r="I18" s="15" t="n"/>
      <c r="J18" s="16" t="n"/>
    </row>
    <row r="19">
      <c r="A19" s="15" t="n"/>
      <c r="B19" s="16" t="n"/>
      <c r="C19" s="16" t="n"/>
      <c r="D19" s="15" t="n"/>
      <c r="E19" s="15" t="n"/>
      <c r="F19" s="15">
        <f>IFERROR(VLOOKUP(D19, Config!A:B, 2, FALSE), "")</f>
        <v/>
      </c>
      <c r="G19" s="15">
        <f>IF(E19="", "", WORKDAY(E19, F19))</f>
        <v/>
      </c>
      <c r="H19" s="15" t="n"/>
      <c r="I19" s="15" t="n"/>
      <c r="J19" s="16" t="n"/>
    </row>
    <row r="20">
      <c r="A20" s="15" t="n"/>
      <c r="B20" s="16" t="n"/>
      <c r="C20" s="16" t="n"/>
      <c r="D20" s="15" t="n"/>
      <c r="E20" s="15" t="n"/>
      <c r="F20" s="15">
        <f>IFERROR(VLOOKUP(D20, Config!A:B, 2, FALSE), "")</f>
        <v/>
      </c>
      <c r="G20" s="15">
        <f>IF(E20="", "", WORKDAY(E20, F20))</f>
        <v/>
      </c>
      <c r="H20" s="15" t="n"/>
      <c r="I20" s="15" t="n"/>
      <c r="J20" s="16" t="n"/>
    </row>
    <row r="21">
      <c r="A21" s="15" t="n"/>
      <c r="B21" s="16" t="n"/>
      <c r="C21" s="16" t="n"/>
      <c r="D21" s="15" t="n"/>
      <c r="E21" s="15" t="n"/>
      <c r="F21" s="15">
        <f>IFERROR(VLOOKUP(D21, Config!A:B, 2, FALSE), "")</f>
        <v/>
      </c>
      <c r="G21" s="15">
        <f>IF(E21="", "", WORKDAY(E21, F21))</f>
        <v/>
      </c>
      <c r="H21" s="15" t="n"/>
      <c r="I21" s="15" t="n"/>
      <c r="J21" s="16" t="n"/>
    </row>
    <row r="22">
      <c r="A22" s="15" t="n"/>
      <c r="B22" s="16" t="n"/>
      <c r="C22" s="16" t="n"/>
      <c r="D22" s="15" t="n"/>
      <c r="E22" s="15" t="n"/>
      <c r="F22" s="15">
        <f>IFERROR(VLOOKUP(D22, Config!A:B, 2, FALSE), "")</f>
        <v/>
      </c>
      <c r="G22" s="15">
        <f>IF(E22="", "", WORKDAY(E22, F22))</f>
        <v/>
      </c>
      <c r="H22" s="15" t="n"/>
      <c r="I22" s="15" t="n"/>
      <c r="J22" s="16" t="n"/>
    </row>
    <row r="23">
      <c r="A23" s="15" t="n"/>
      <c r="B23" s="16" t="n"/>
      <c r="C23" s="16" t="n"/>
      <c r="D23" s="15" t="n"/>
      <c r="E23" s="15" t="n"/>
      <c r="F23" s="15">
        <f>IFERROR(VLOOKUP(D23, Config!A:B, 2, FALSE), "")</f>
        <v/>
      </c>
      <c r="G23" s="15">
        <f>IF(E23="", "", WORKDAY(E23, F23))</f>
        <v/>
      </c>
      <c r="H23" s="15" t="n"/>
      <c r="I23" s="15" t="n"/>
      <c r="J23" s="16" t="n"/>
    </row>
    <row r="24">
      <c r="A24" s="15" t="n"/>
      <c r="B24" s="16" t="n"/>
      <c r="C24" s="16" t="n"/>
      <c r="D24" s="15" t="n"/>
      <c r="E24" s="15" t="n"/>
      <c r="F24" s="15">
        <f>IFERROR(VLOOKUP(D24, Config!A:B, 2, FALSE), "")</f>
        <v/>
      </c>
      <c r="G24" s="15">
        <f>IF(E24="", "", WORKDAY(E24, F24))</f>
        <v/>
      </c>
      <c r="H24" s="15" t="n"/>
      <c r="I24" s="15" t="n"/>
      <c r="J24" s="16" t="n"/>
    </row>
    <row r="25">
      <c r="A25" s="15" t="n"/>
      <c r="B25" s="16" t="n"/>
      <c r="C25" s="16" t="n"/>
      <c r="D25" s="15" t="n"/>
      <c r="E25" s="15" t="n"/>
      <c r="F25" s="15">
        <f>IFERROR(VLOOKUP(D25, Config!A:B, 2, FALSE), "")</f>
        <v/>
      </c>
      <c r="G25" s="15">
        <f>IF(E25="", "", WORKDAY(E25, F25))</f>
        <v/>
      </c>
      <c r="H25" s="15" t="n"/>
      <c r="I25" s="15" t="n"/>
      <c r="J25" s="16" t="n"/>
    </row>
    <row r="26">
      <c r="A26" s="15" t="n"/>
      <c r="B26" s="16" t="n"/>
      <c r="C26" s="16" t="n"/>
      <c r="D26" s="15" t="n"/>
      <c r="E26" s="15" t="n"/>
      <c r="F26" s="15">
        <f>IFERROR(VLOOKUP(D26, Config!A:B, 2, FALSE), "")</f>
        <v/>
      </c>
      <c r="G26" s="15">
        <f>IF(E26="", "", WORKDAY(E26, F26))</f>
        <v/>
      </c>
      <c r="H26" s="15" t="n"/>
      <c r="I26" s="15" t="n"/>
      <c r="J26" s="16" t="n"/>
    </row>
    <row r="27">
      <c r="A27" s="15" t="n"/>
      <c r="B27" s="16" t="n"/>
      <c r="C27" s="16" t="n"/>
      <c r="D27" s="15" t="n"/>
      <c r="E27" s="15" t="n"/>
      <c r="F27" s="15">
        <f>IFERROR(VLOOKUP(D27, Config!A:B, 2, FALSE), "")</f>
        <v/>
      </c>
      <c r="G27" s="15">
        <f>IF(E27="", "", WORKDAY(E27, F27))</f>
        <v/>
      </c>
      <c r="H27" s="15" t="n"/>
      <c r="I27" s="15" t="n"/>
      <c r="J27" s="16" t="n"/>
    </row>
    <row r="28">
      <c r="A28" s="15" t="n"/>
      <c r="B28" s="16" t="n"/>
      <c r="C28" s="16" t="n"/>
      <c r="D28" s="15" t="n"/>
      <c r="E28" s="15" t="n"/>
      <c r="F28" s="15">
        <f>IFERROR(VLOOKUP(D28, Config!A:B, 2, FALSE), "")</f>
        <v/>
      </c>
      <c r="G28" s="15">
        <f>IF(E28="", "", WORKDAY(E28, F28))</f>
        <v/>
      </c>
      <c r="H28" s="15" t="n"/>
      <c r="I28" s="15" t="n"/>
      <c r="J28" s="16" t="n"/>
    </row>
    <row r="29">
      <c r="A29" s="15" t="n"/>
      <c r="B29" s="16" t="n"/>
      <c r="C29" s="16" t="n"/>
      <c r="D29" s="15" t="n"/>
      <c r="E29" s="15" t="n"/>
      <c r="F29" s="15">
        <f>IFERROR(VLOOKUP(D29, Config!A:B, 2, FALSE), "")</f>
        <v/>
      </c>
      <c r="G29" s="15">
        <f>IF(E29="", "", WORKDAY(E29, F29))</f>
        <v/>
      </c>
      <c r="H29" s="15" t="n"/>
      <c r="I29" s="15" t="n"/>
      <c r="J29" s="16" t="n"/>
    </row>
    <row r="30">
      <c r="A30" s="15" t="n"/>
      <c r="B30" s="16" t="n"/>
      <c r="C30" s="16" t="n"/>
      <c r="D30" s="15" t="n"/>
      <c r="E30" s="15" t="n"/>
      <c r="F30" s="15">
        <f>IFERROR(VLOOKUP(D30, Config!A:B, 2, FALSE), "")</f>
        <v/>
      </c>
      <c r="G30" s="15">
        <f>IF(E30="", "", WORKDAY(E30, F30))</f>
        <v/>
      </c>
      <c r="H30" s="15" t="n"/>
      <c r="I30" s="15" t="n"/>
      <c r="J30" s="16" t="n"/>
    </row>
    <row r="31">
      <c r="A31" s="15" t="n"/>
      <c r="B31" s="16" t="n"/>
      <c r="C31" s="16" t="n"/>
      <c r="D31" s="15" t="n"/>
      <c r="E31" s="15" t="n"/>
      <c r="F31" s="15">
        <f>IFERROR(VLOOKUP(D31, Config!A:B, 2, FALSE), "")</f>
        <v/>
      </c>
      <c r="G31" s="15">
        <f>IF(E31="", "", WORKDAY(E31, F31))</f>
        <v/>
      </c>
      <c r="H31" s="15" t="n"/>
      <c r="I31" s="15" t="n"/>
      <c r="J31" s="16" t="n"/>
    </row>
    <row r="32">
      <c r="A32" s="15" t="n"/>
      <c r="B32" s="16" t="n"/>
      <c r="C32" s="16" t="n"/>
      <c r="D32" s="15" t="n"/>
      <c r="E32" s="15" t="n"/>
      <c r="F32" s="15">
        <f>IFERROR(VLOOKUP(D32, Config!A:B, 2, FALSE), "")</f>
        <v/>
      </c>
      <c r="G32" s="15">
        <f>IF(E32="", "", WORKDAY(E32, F32))</f>
        <v/>
      </c>
      <c r="H32" s="15" t="n"/>
      <c r="I32" s="15" t="n"/>
      <c r="J32" s="16" t="n"/>
    </row>
    <row r="33">
      <c r="A33" s="15" t="n"/>
      <c r="B33" s="16" t="n"/>
      <c r="C33" s="16" t="n"/>
      <c r="D33" s="15" t="n"/>
      <c r="E33" s="15" t="n"/>
      <c r="F33" s="15">
        <f>IFERROR(VLOOKUP(D33, Config!A:B, 2, FALSE), "")</f>
        <v/>
      </c>
      <c r="G33" s="15">
        <f>IF(E33="", "", WORKDAY(E33, F33))</f>
        <v/>
      </c>
      <c r="H33" s="15" t="n"/>
      <c r="I33" s="15" t="n"/>
      <c r="J33" s="16" t="n"/>
    </row>
    <row r="34">
      <c r="A34" s="15" t="n"/>
      <c r="B34" s="16" t="n"/>
      <c r="C34" s="16" t="n"/>
      <c r="D34" s="15" t="n"/>
      <c r="E34" s="15" t="n"/>
      <c r="F34" s="15">
        <f>IFERROR(VLOOKUP(D34, Config!A:B, 2, FALSE), "")</f>
        <v/>
      </c>
      <c r="G34" s="15">
        <f>IF(E34="", "", WORKDAY(E34, F34))</f>
        <v/>
      </c>
      <c r="H34" s="15" t="n"/>
      <c r="I34" s="15" t="n"/>
      <c r="J34" s="16" t="n"/>
    </row>
    <row r="35">
      <c r="A35" s="15" t="n"/>
      <c r="B35" s="16" t="n"/>
      <c r="C35" s="16" t="n"/>
      <c r="D35" s="15" t="n"/>
      <c r="E35" s="15" t="n"/>
      <c r="F35" s="15">
        <f>IFERROR(VLOOKUP(D35, Config!A:B, 2, FALSE), "")</f>
        <v/>
      </c>
      <c r="G35" s="15">
        <f>IF(E35="", "", WORKDAY(E35, F35))</f>
        <v/>
      </c>
      <c r="H35" s="15" t="n"/>
      <c r="I35" s="15" t="n"/>
      <c r="J35" s="16" t="n"/>
    </row>
    <row r="36">
      <c r="A36" s="15" t="n"/>
      <c r="B36" s="16" t="n"/>
      <c r="C36" s="16" t="n"/>
      <c r="D36" s="15" t="n"/>
      <c r="E36" s="15" t="n"/>
      <c r="F36" s="15">
        <f>IFERROR(VLOOKUP(D36, Config!A:B, 2, FALSE), "")</f>
        <v/>
      </c>
      <c r="G36" s="15">
        <f>IF(E36="", "", WORKDAY(E36, F36))</f>
        <v/>
      </c>
      <c r="H36" s="15" t="n"/>
      <c r="I36" s="15" t="n"/>
      <c r="J36" s="16" t="n"/>
    </row>
    <row r="37">
      <c r="A37" s="15" t="n"/>
      <c r="B37" s="16" t="n"/>
      <c r="C37" s="16" t="n"/>
      <c r="D37" s="15" t="n"/>
      <c r="E37" s="15" t="n"/>
      <c r="F37" s="15">
        <f>IFERROR(VLOOKUP(D37, Config!A:B, 2, FALSE), "")</f>
        <v/>
      </c>
      <c r="G37" s="15">
        <f>IF(E37="", "", WORKDAY(E37, F37))</f>
        <v/>
      </c>
      <c r="H37" s="15" t="n"/>
      <c r="I37" s="15" t="n"/>
      <c r="J37" s="16" t="n"/>
    </row>
    <row r="38">
      <c r="A38" s="15" t="n"/>
      <c r="B38" s="16" t="n"/>
      <c r="C38" s="16" t="n"/>
      <c r="D38" s="15" t="n"/>
      <c r="E38" s="15" t="n"/>
      <c r="F38" s="15">
        <f>IFERROR(VLOOKUP(D38, Config!A:B, 2, FALSE), "")</f>
        <v/>
      </c>
      <c r="G38" s="15">
        <f>IF(E38="", "", WORKDAY(E38, F38))</f>
        <v/>
      </c>
      <c r="H38" s="15" t="n"/>
      <c r="I38" s="15" t="n"/>
      <c r="J38" s="16" t="n"/>
    </row>
    <row r="39">
      <c r="A39" s="15" t="n"/>
      <c r="B39" s="16" t="n"/>
      <c r="C39" s="16" t="n"/>
      <c r="D39" s="15" t="n"/>
      <c r="E39" s="15" t="n"/>
      <c r="F39" s="15">
        <f>IFERROR(VLOOKUP(D39, Config!A:B, 2, FALSE), "")</f>
        <v/>
      </c>
      <c r="G39" s="15">
        <f>IF(E39="", "", WORKDAY(E39, F39))</f>
        <v/>
      </c>
      <c r="H39" s="15" t="n"/>
      <c r="I39" s="15" t="n"/>
      <c r="J39" s="16" t="n"/>
    </row>
    <row r="40">
      <c r="A40" s="15" t="n"/>
      <c r="B40" s="16" t="n"/>
      <c r="C40" s="16" t="n"/>
      <c r="D40" s="15" t="n"/>
      <c r="E40" s="15" t="n"/>
      <c r="F40" s="15">
        <f>IFERROR(VLOOKUP(D40, Config!A:B, 2, FALSE), "")</f>
        <v/>
      </c>
      <c r="G40" s="15">
        <f>IF(E40="", "", WORKDAY(E40, F40))</f>
        <v/>
      </c>
      <c r="H40" s="15" t="n"/>
      <c r="I40" s="15" t="n"/>
      <c r="J40" s="16" t="n"/>
    </row>
    <row r="41">
      <c r="A41" s="15" t="n"/>
      <c r="B41" s="16" t="n"/>
      <c r="C41" s="16" t="n"/>
      <c r="D41" s="15" t="n"/>
      <c r="E41" s="15" t="n"/>
      <c r="F41" s="15">
        <f>IFERROR(VLOOKUP(D41, Config!A:B, 2, FALSE), "")</f>
        <v/>
      </c>
      <c r="G41" s="15">
        <f>IF(E41="", "", WORKDAY(E41, F41))</f>
        <v/>
      </c>
      <c r="H41" s="15" t="n"/>
      <c r="I41" s="15" t="n"/>
      <c r="J41" s="16" t="n"/>
    </row>
    <row r="42">
      <c r="A42" s="15" t="n"/>
      <c r="B42" s="16" t="n"/>
      <c r="C42" s="16" t="n"/>
      <c r="D42" s="15" t="n"/>
      <c r="E42" s="15" t="n"/>
      <c r="F42" s="15">
        <f>IFERROR(VLOOKUP(D42, Config!A:B, 2, FALSE), "")</f>
        <v/>
      </c>
      <c r="G42" s="15">
        <f>IF(E42="", "", WORKDAY(E42, F42))</f>
        <v/>
      </c>
      <c r="H42" s="15" t="n"/>
      <c r="I42" s="15" t="n"/>
      <c r="J42" s="16" t="n"/>
    </row>
    <row r="43">
      <c r="A43" s="15" t="n"/>
      <c r="B43" s="16" t="n"/>
      <c r="C43" s="16" t="n"/>
      <c r="D43" s="15" t="n"/>
      <c r="E43" s="15" t="n"/>
      <c r="F43" s="15">
        <f>IFERROR(VLOOKUP(D43, Config!A:B, 2, FALSE), "")</f>
        <v/>
      </c>
      <c r="G43" s="15">
        <f>IF(E43="", "", WORKDAY(E43, F43))</f>
        <v/>
      </c>
      <c r="H43" s="15" t="n"/>
      <c r="I43" s="15" t="n"/>
      <c r="J43" s="16" t="n"/>
    </row>
    <row r="44">
      <c r="A44" s="15" t="n"/>
      <c r="B44" s="16" t="n"/>
      <c r="C44" s="16" t="n"/>
      <c r="D44" s="15" t="n"/>
      <c r="E44" s="15" t="n"/>
      <c r="F44" s="15">
        <f>IFERROR(VLOOKUP(D44, Config!A:B, 2, FALSE), "")</f>
        <v/>
      </c>
      <c r="G44" s="15">
        <f>IF(E44="", "", WORKDAY(E44, F44))</f>
        <v/>
      </c>
      <c r="H44" s="15" t="n"/>
      <c r="I44" s="15" t="n"/>
      <c r="J44" s="16" t="n"/>
    </row>
    <row r="45">
      <c r="A45" s="15" t="n"/>
      <c r="B45" s="16" t="n"/>
      <c r="C45" s="16" t="n"/>
      <c r="D45" s="15" t="n"/>
      <c r="E45" s="15" t="n"/>
      <c r="F45" s="15">
        <f>IFERROR(VLOOKUP(D45, Config!A:B, 2, FALSE), "")</f>
        <v/>
      </c>
      <c r="G45" s="15">
        <f>IF(E45="", "", WORKDAY(E45, F45))</f>
        <v/>
      </c>
      <c r="H45" s="15" t="n"/>
      <c r="I45" s="15" t="n"/>
      <c r="J45" s="16" t="n"/>
    </row>
    <row r="46">
      <c r="A46" s="15" t="n"/>
      <c r="B46" s="16" t="n"/>
      <c r="C46" s="16" t="n"/>
      <c r="D46" s="15" t="n"/>
      <c r="E46" s="15" t="n"/>
      <c r="F46" s="15">
        <f>IFERROR(VLOOKUP(D46, Config!A:B, 2, FALSE), "")</f>
        <v/>
      </c>
      <c r="G46" s="15">
        <f>IF(E46="", "", WORKDAY(E46, F46))</f>
        <v/>
      </c>
      <c r="H46" s="15" t="n"/>
      <c r="I46" s="15" t="n"/>
      <c r="J46" s="16" t="n"/>
    </row>
    <row r="47">
      <c r="A47" s="15" t="n"/>
      <c r="B47" s="16" t="n"/>
      <c r="C47" s="16" t="n"/>
      <c r="D47" s="15" t="n"/>
      <c r="E47" s="15" t="n"/>
      <c r="F47" s="15">
        <f>IFERROR(VLOOKUP(D47, Config!A:B, 2, FALSE), "")</f>
        <v/>
      </c>
      <c r="G47" s="15">
        <f>IF(E47="", "", WORKDAY(E47, F47))</f>
        <v/>
      </c>
      <c r="H47" s="15" t="n"/>
      <c r="I47" s="15" t="n"/>
      <c r="J47" s="16" t="n"/>
    </row>
    <row r="48">
      <c r="A48" s="15" t="n"/>
      <c r="B48" s="16" t="n"/>
      <c r="C48" s="16" t="n"/>
      <c r="D48" s="15" t="n"/>
      <c r="E48" s="15" t="n"/>
      <c r="F48" s="15">
        <f>IFERROR(VLOOKUP(D48, Config!A:B, 2, FALSE), "")</f>
        <v/>
      </c>
      <c r="G48" s="15">
        <f>IF(E48="", "", WORKDAY(E48, F48))</f>
        <v/>
      </c>
      <c r="H48" s="15" t="n"/>
      <c r="I48" s="15" t="n"/>
      <c r="J48" s="16" t="n"/>
    </row>
    <row r="49">
      <c r="A49" s="15" t="n"/>
      <c r="B49" s="16" t="n"/>
      <c r="C49" s="16" t="n"/>
      <c r="D49" s="15" t="n"/>
      <c r="E49" s="15" t="n"/>
      <c r="F49" s="15">
        <f>IFERROR(VLOOKUP(D49, Config!A:B, 2, FALSE), "")</f>
        <v/>
      </c>
      <c r="G49" s="15">
        <f>IF(E49="", "", WORKDAY(E49, F49))</f>
        <v/>
      </c>
      <c r="H49" s="15" t="n"/>
      <c r="I49" s="15" t="n"/>
      <c r="J49" s="16" t="n"/>
    </row>
    <row r="50">
      <c r="A50" s="15" t="n"/>
      <c r="B50" s="16" t="n"/>
      <c r="C50" s="16" t="n"/>
      <c r="D50" s="15" t="n"/>
      <c r="E50" s="15" t="n"/>
      <c r="F50" s="15">
        <f>IFERROR(VLOOKUP(D50, Config!A:B, 2, FALSE), "")</f>
        <v/>
      </c>
      <c r="G50" s="15">
        <f>IF(E50="", "", WORKDAY(E50, F50))</f>
        <v/>
      </c>
      <c r="H50" s="15" t="n"/>
      <c r="I50" s="15" t="n"/>
      <c r="J50" s="16" t="n"/>
    </row>
    <row r="51">
      <c r="A51" s="15" t="n"/>
      <c r="B51" s="16" t="n"/>
      <c r="C51" s="16" t="n"/>
      <c r="D51" s="15" t="n"/>
      <c r="E51" s="15" t="n"/>
      <c r="F51" s="15">
        <f>IFERROR(VLOOKUP(D51, Config!A:B, 2, FALSE), "")</f>
        <v/>
      </c>
      <c r="G51" s="15">
        <f>IF(E51="", "", WORKDAY(E51, F51))</f>
        <v/>
      </c>
      <c r="H51" s="15" t="n"/>
      <c r="I51" s="15" t="n"/>
      <c r="J51" s="16" t="n"/>
    </row>
    <row r="52">
      <c r="A52" s="15" t="n"/>
      <c r="B52" s="16" t="n"/>
      <c r="C52" s="16" t="n"/>
      <c r="D52" s="15" t="n"/>
      <c r="E52" s="15" t="n"/>
      <c r="F52" s="15">
        <f>IFERROR(VLOOKUP(D52, Config!A:B, 2, FALSE), "")</f>
        <v/>
      </c>
      <c r="G52" s="15">
        <f>IF(E52="", "", WORKDAY(E52, F52))</f>
        <v/>
      </c>
      <c r="H52" s="15" t="n"/>
      <c r="I52" s="15" t="n"/>
      <c r="J52" s="16" t="n"/>
    </row>
    <row r="53">
      <c r="A53" s="15" t="n"/>
      <c r="B53" s="16" t="n"/>
      <c r="C53" s="16" t="n"/>
      <c r="D53" s="15" t="n"/>
      <c r="E53" s="15" t="n"/>
      <c r="F53" s="15">
        <f>IFERROR(VLOOKUP(D53, Config!A:B, 2, FALSE), "")</f>
        <v/>
      </c>
      <c r="G53" s="15">
        <f>IF(E53="", "", WORKDAY(E53, F53))</f>
        <v/>
      </c>
      <c r="H53" s="15" t="n"/>
      <c r="I53" s="15" t="n"/>
      <c r="J53" s="16" t="n"/>
    </row>
    <row r="54">
      <c r="A54" s="15" t="n"/>
      <c r="B54" s="16" t="n"/>
      <c r="C54" s="16" t="n"/>
      <c r="D54" s="15" t="n"/>
      <c r="E54" s="15" t="n"/>
      <c r="F54" s="15">
        <f>IFERROR(VLOOKUP(D54, Config!A:B, 2, FALSE), "")</f>
        <v/>
      </c>
      <c r="G54" s="15">
        <f>IF(E54="", "", WORKDAY(E54, F54))</f>
        <v/>
      </c>
      <c r="H54" s="15" t="n"/>
      <c r="I54" s="15" t="n"/>
      <c r="J54" s="16" t="n"/>
    </row>
    <row r="55">
      <c r="A55" s="15" t="n"/>
      <c r="B55" s="16" t="n"/>
      <c r="C55" s="16" t="n"/>
      <c r="D55" s="15" t="n"/>
      <c r="E55" s="15" t="n"/>
      <c r="F55" s="15">
        <f>IFERROR(VLOOKUP(D55, Config!A:B, 2, FALSE), "")</f>
        <v/>
      </c>
      <c r="G55" s="15">
        <f>IF(E55="", "", WORKDAY(E55, F55))</f>
        <v/>
      </c>
      <c r="H55" s="15" t="n"/>
      <c r="I55" s="15" t="n"/>
      <c r="J55" s="16" t="n"/>
    </row>
    <row r="56">
      <c r="A56" s="15" t="n"/>
      <c r="B56" s="16" t="n"/>
      <c r="C56" s="16" t="n"/>
      <c r="D56" s="15" t="n"/>
      <c r="E56" s="15" t="n"/>
      <c r="F56" s="15">
        <f>IFERROR(VLOOKUP(D56, Config!A:B, 2, FALSE), "")</f>
        <v/>
      </c>
      <c r="G56" s="15">
        <f>IF(E56="", "", WORKDAY(E56, F56))</f>
        <v/>
      </c>
      <c r="H56" s="15" t="n"/>
      <c r="I56" s="15" t="n"/>
      <c r="J56" s="16" t="n"/>
    </row>
    <row r="57">
      <c r="A57" s="15" t="n"/>
      <c r="B57" s="16" t="n"/>
      <c r="C57" s="16" t="n"/>
      <c r="D57" s="15" t="n"/>
      <c r="E57" s="15" t="n"/>
      <c r="F57" s="15">
        <f>IFERROR(VLOOKUP(D57, Config!A:B, 2, FALSE), "")</f>
        <v/>
      </c>
      <c r="G57" s="15">
        <f>IF(E57="", "", WORKDAY(E57, F57))</f>
        <v/>
      </c>
      <c r="H57" s="15" t="n"/>
      <c r="I57" s="15" t="n"/>
      <c r="J57" s="16" t="n"/>
    </row>
    <row r="58">
      <c r="A58" s="15" t="n"/>
      <c r="B58" s="16" t="n"/>
      <c r="C58" s="16" t="n"/>
      <c r="D58" s="15" t="n"/>
      <c r="E58" s="15" t="n"/>
      <c r="F58" s="15">
        <f>IFERROR(VLOOKUP(D58, Config!A:B, 2, FALSE), "")</f>
        <v/>
      </c>
      <c r="G58" s="15">
        <f>IF(E58="", "", WORKDAY(E58, F58))</f>
        <v/>
      </c>
      <c r="H58" s="15" t="n"/>
      <c r="I58" s="15" t="n"/>
      <c r="J58" s="16" t="n"/>
    </row>
    <row r="59">
      <c r="A59" s="15" t="n"/>
      <c r="B59" s="16" t="n"/>
      <c r="C59" s="16" t="n"/>
      <c r="D59" s="15" t="n"/>
      <c r="E59" s="15" t="n"/>
      <c r="F59" s="15">
        <f>IFERROR(VLOOKUP(D59, Config!A:B, 2, FALSE), "")</f>
        <v/>
      </c>
      <c r="G59" s="15">
        <f>IF(E59="", "", WORKDAY(E59, F59))</f>
        <v/>
      </c>
      <c r="H59" s="15" t="n"/>
      <c r="I59" s="15" t="n"/>
      <c r="J59" s="16" t="n"/>
    </row>
    <row r="60">
      <c r="A60" s="15" t="n"/>
      <c r="B60" s="16" t="n"/>
      <c r="C60" s="16" t="n"/>
      <c r="D60" s="15" t="n"/>
      <c r="E60" s="15" t="n"/>
      <c r="F60" s="15">
        <f>IFERROR(VLOOKUP(D60, Config!A:B, 2, FALSE), "")</f>
        <v/>
      </c>
      <c r="G60" s="15">
        <f>IF(E60="", "", WORKDAY(E60, F60))</f>
        <v/>
      </c>
      <c r="H60" s="15" t="n"/>
      <c r="I60" s="15" t="n"/>
      <c r="J60" s="16" t="n"/>
    </row>
    <row r="61">
      <c r="A61" s="15" t="n"/>
      <c r="B61" s="16" t="n"/>
      <c r="C61" s="16" t="n"/>
      <c r="D61" s="15" t="n"/>
      <c r="E61" s="15" t="n"/>
      <c r="F61" s="15">
        <f>IFERROR(VLOOKUP(D61, Config!A:B, 2, FALSE), "")</f>
        <v/>
      </c>
      <c r="G61" s="15">
        <f>IF(E61="", "", WORKDAY(E61, F61))</f>
        <v/>
      </c>
      <c r="H61" s="15" t="n"/>
      <c r="I61" s="15" t="n"/>
      <c r="J61" s="16" t="n"/>
    </row>
    <row r="62">
      <c r="A62" s="15" t="n"/>
      <c r="B62" s="16" t="n"/>
      <c r="C62" s="16" t="n"/>
      <c r="D62" s="15" t="n"/>
      <c r="E62" s="15" t="n"/>
      <c r="F62" s="15">
        <f>IFERROR(VLOOKUP(D62, Config!A:B, 2, FALSE), "")</f>
        <v/>
      </c>
      <c r="G62" s="15">
        <f>IF(E62="", "", WORKDAY(E62, F62))</f>
        <v/>
      </c>
      <c r="H62" s="15" t="n"/>
      <c r="I62" s="15" t="n"/>
      <c r="J62" s="16" t="n"/>
    </row>
    <row r="63">
      <c r="A63" s="15" t="n"/>
      <c r="B63" s="16" t="n"/>
      <c r="C63" s="16" t="n"/>
      <c r="D63" s="15" t="n"/>
      <c r="E63" s="15" t="n"/>
      <c r="F63" s="15">
        <f>IFERROR(VLOOKUP(D63, Config!A:B, 2, FALSE), "")</f>
        <v/>
      </c>
      <c r="G63" s="15">
        <f>IF(E63="", "", WORKDAY(E63, F63))</f>
        <v/>
      </c>
      <c r="H63" s="15" t="n"/>
      <c r="I63" s="15" t="n"/>
      <c r="J63" s="16" t="n"/>
    </row>
    <row r="64">
      <c r="A64" s="15" t="n"/>
      <c r="B64" s="16" t="n"/>
      <c r="C64" s="16" t="n"/>
      <c r="D64" s="15" t="n"/>
      <c r="E64" s="15" t="n"/>
      <c r="F64" s="15">
        <f>IFERROR(VLOOKUP(D64, Config!A:B, 2, FALSE), "")</f>
        <v/>
      </c>
      <c r="G64" s="15">
        <f>IF(E64="", "", WORKDAY(E64, F64))</f>
        <v/>
      </c>
      <c r="H64" s="15" t="n"/>
      <c r="I64" s="15" t="n"/>
      <c r="J64" s="16" t="n"/>
    </row>
    <row r="65">
      <c r="A65" s="15" t="n"/>
      <c r="B65" s="16" t="n"/>
      <c r="C65" s="16" t="n"/>
      <c r="D65" s="15" t="n"/>
      <c r="E65" s="15" t="n"/>
      <c r="F65" s="15">
        <f>IFERROR(VLOOKUP(D65, Config!A:B, 2, FALSE), "")</f>
        <v/>
      </c>
      <c r="G65" s="15">
        <f>IF(E65="", "", WORKDAY(E65, F65))</f>
        <v/>
      </c>
      <c r="H65" s="15" t="n"/>
      <c r="I65" s="15" t="n"/>
      <c r="J65" s="16" t="n"/>
    </row>
    <row r="66">
      <c r="A66" s="15" t="n"/>
      <c r="B66" s="16" t="n"/>
      <c r="C66" s="16" t="n"/>
      <c r="D66" s="15" t="n"/>
      <c r="E66" s="15" t="n"/>
      <c r="F66" s="15">
        <f>IFERROR(VLOOKUP(D66, Config!A:B, 2, FALSE), "")</f>
        <v/>
      </c>
      <c r="G66" s="15">
        <f>IF(E66="", "", WORKDAY(E66, F66))</f>
        <v/>
      </c>
      <c r="H66" s="15" t="n"/>
      <c r="I66" s="15" t="n"/>
      <c r="J66" s="16" t="n"/>
    </row>
    <row r="67">
      <c r="A67" s="15" t="n"/>
      <c r="B67" s="16" t="n"/>
      <c r="C67" s="16" t="n"/>
      <c r="D67" s="15" t="n"/>
      <c r="E67" s="15" t="n"/>
      <c r="F67" s="15">
        <f>IFERROR(VLOOKUP(D67, Config!A:B, 2, FALSE), "")</f>
        <v/>
      </c>
      <c r="G67" s="15">
        <f>IF(E67="", "", WORKDAY(E67, F67))</f>
        <v/>
      </c>
      <c r="H67" s="15" t="n"/>
      <c r="I67" s="15" t="n"/>
      <c r="J67" s="16" t="n"/>
    </row>
    <row r="68">
      <c r="A68" s="15" t="n"/>
      <c r="B68" s="16" t="n"/>
      <c r="C68" s="16" t="n"/>
      <c r="D68" s="15" t="n"/>
      <c r="E68" s="15" t="n"/>
      <c r="F68" s="15">
        <f>IFERROR(VLOOKUP(D68, Config!A:B, 2, FALSE), "")</f>
        <v/>
      </c>
      <c r="G68" s="15">
        <f>IF(E68="", "", WORKDAY(E68, F68))</f>
        <v/>
      </c>
      <c r="H68" s="15" t="n"/>
      <c r="I68" s="15" t="n"/>
      <c r="J68" s="16" t="n"/>
    </row>
    <row r="69">
      <c r="A69" s="15" t="n"/>
      <c r="B69" s="16" t="n"/>
      <c r="C69" s="16" t="n"/>
      <c r="D69" s="15" t="n"/>
      <c r="E69" s="15" t="n"/>
      <c r="F69" s="15">
        <f>IFERROR(VLOOKUP(D69, Config!A:B, 2, FALSE), "")</f>
        <v/>
      </c>
      <c r="G69" s="15">
        <f>IF(E69="", "", WORKDAY(E69, F69))</f>
        <v/>
      </c>
      <c r="H69" s="15" t="n"/>
      <c r="I69" s="15" t="n"/>
      <c r="J69" s="16" t="n"/>
    </row>
    <row r="70">
      <c r="A70" s="15" t="n"/>
      <c r="B70" s="16" t="n"/>
      <c r="C70" s="16" t="n"/>
      <c r="D70" s="15" t="n"/>
      <c r="E70" s="15" t="n"/>
      <c r="F70" s="15">
        <f>IFERROR(VLOOKUP(D70, Config!A:B, 2, FALSE), "")</f>
        <v/>
      </c>
      <c r="G70" s="15">
        <f>IF(E70="", "", WORKDAY(E70, F70))</f>
        <v/>
      </c>
      <c r="H70" s="15" t="n"/>
      <c r="I70" s="15" t="n"/>
      <c r="J70" s="16" t="n"/>
    </row>
    <row r="71">
      <c r="A71" s="15" t="n"/>
      <c r="B71" s="16" t="n"/>
      <c r="C71" s="16" t="n"/>
      <c r="D71" s="15" t="n"/>
      <c r="E71" s="15" t="n"/>
      <c r="F71" s="15">
        <f>IFERROR(VLOOKUP(D71, Config!A:B, 2, FALSE), "")</f>
        <v/>
      </c>
      <c r="G71" s="15">
        <f>IF(E71="", "", WORKDAY(E71, F71))</f>
        <v/>
      </c>
      <c r="H71" s="15" t="n"/>
      <c r="I71" s="15" t="n"/>
      <c r="J71" s="16" t="n"/>
    </row>
    <row r="72">
      <c r="A72" s="15" t="n"/>
      <c r="B72" s="16" t="n"/>
      <c r="C72" s="16" t="n"/>
      <c r="D72" s="15" t="n"/>
      <c r="E72" s="15" t="n"/>
      <c r="F72" s="15">
        <f>IFERROR(VLOOKUP(D72, Config!A:B, 2, FALSE), "")</f>
        <v/>
      </c>
      <c r="G72" s="15">
        <f>IF(E72="", "", WORKDAY(E72, F72))</f>
        <v/>
      </c>
      <c r="H72" s="15" t="n"/>
      <c r="I72" s="15" t="n"/>
      <c r="J72" s="16" t="n"/>
    </row>
    <row r="73">
      <c r="A73" s="15" t="n"/>
      <c r="B73" s="16" t="n"/>
      <c r="C73" s="16" t="n"/>
      <c r="D73" s="15" t="n"/>
      <c r="E73" s="15" t="n"/>
      <c r="F73" s="15">
        <f>IFERROR(VLOOKUP(D73, Config!A:B, 2, FALSE), "")</f>
        <v/>
      </c>
      <c r="G73" s="15">
        <f>IF(E73="", "", WORKDAY(E73, F73))</f>
        <v/>
      </c>
      <c r="H73" s="15" t="n"/>
      <c r="I73" s="15" t="n"/>
      <c r="J73" s="16" t="n"/>
    </row>
    <row r="74">
      <c r="A74" s="15" t="n"/>
      <c r="B74" s="16" t="n"/>
      <c r="C74" s="16" t="n"/>
      <c r="D74" s="15" t="n"/>
      <c r="E74" s="15" t="n"/>
      <c r="F74" s="15">
        <f>IFERROR(VLOOKUP(D74, Config!A:B, 2, FALSE), "")</f>
        <v/>
      </c>
      <c r="G74" s="15">
        <f>IF(E74="", "", WORKDAY(E74, F74))</f>
        <v/>
      </c>
      <c r="H74" s="15" t="n"/>
      <c r="I74" s="15" t="n"/>
      <c r="J74" s="16" t="n"/>
    </row>
    <row r="75">
      <c r="A75" s="15" t="n"/>
      <c r="B75" s="16" t="n"/>
      <c r="C75" s="16" t="n"/>
      <c r="D75" s="15" t="n"/>
      <c r="E75" s="15" t="n"/>
      <c r="F75" s="15">
        <f>IFERROR(VLOOKUP(D75, Config!A:B, 2, FALSE), "")</f>
        <v/>
      </c>
      <c r="G75" s="15">
        <f>IF(E75="", "", WORKDAY(E75, F75))</f>
        <v/>
      </c>
      <c r="H75" s="15" t="n"/>
      <c r="I75" s="15" t="n"/>
      <c r="J75" s="16" t="n"/>
    </row>
    <row r="76">
      <c r="A76" s="15" t="n"/>
      <c r="B76" s="16" t="n"/>
      <c r="C76" s="16" t="n"/>
      <c r="D76" s="15" t="n"/>
      <c r="E76" s="15" t="n"/>
      <c r="F76" s="15">
        <f>IFERROR(VLOOKUP(D76, Config!A:B, 2, FALSE), "")</f>
        <v/>
      </c>
      <c r="G76" s="15">
        <f>IF(E76="", "", WORKDAY(E76, F76))</f>
        <v/>
      </c>
      <c r="H76" s="15" t="n"/>
      <c r="I76" s="15" t="n"/>
      <c r="J76" s="16" t="n"/>
    </row>
    <row r="77">
      <c r="A77" s="15" t="n"/>
      <c r="B77" s="16" t="n"/>
      <c r="C77" s="16" t="n"/>
      <c r="D77" s="15" t="n"/>
      <c r="E77" s="15" t="n"/>
      <c r="F77" s="15">
        <f>IFERROR(VLOOKUP(D77, Config!A:B, 2, FALSE), "")</f>
        <v/>
      </c>
      <c r="G77" s="15">
        <f>IF(E77="", "", WORKDAY(E77, F77))</f>
        <v/>
      </c>
      <c r="H77" s="15" t="n"/>
      <c r="I77" s="15" t="n"/>
      <c r="J77" s="16" t="n"/>
    </row>
    <row r="78">
      <c r="A78" s="15" t="n"/>
      <c r="B78" s="16" t="n"/>
      <c r="C78" s="16" t="n"/>
      <c r="D78" s="15" t="n"/>
      <c r="E78" s="15" t="n"/>
      <c r="F78" s="15">
        <f>IFERROR(VLOOKUP(D78, Config!A:B, 2, FALSE), "")</f>
        <v/>
      </c>
      <c r="G78" s="15">
        <f>IF(E78="", "", WORKDAY(E78, F78))</f>
        <v/>
      </c>
      <c r="H78" s="15" t="n"/>
      <c r="I78" s="15" t="n"/>
      <c r="J78" s="16" t="n"/>
    </row>
    <row r="79">
      <c r="A79" s="15" t="n"/>
      <c r="B79" s="16" t="n"/>
      <c r="C79" s="16" t="n"/>
      <c r="D79" s="15" t="n"/>
      <c r="E79" s="15" t="n"/>
      <c r="F79" s="15">
        <f>IFERROR(VLOOKUP(D79, Config!A:B, 2, FALSE), "")</f>
        <v/>
      </c>
      <c r="G79" s="15">
        <f>IF(E79="", "", WORKDAY(E79, F79))</f>
        <v/>
      </c>
      <c r="H79" s="15" t="n"/>
      <c r="I79" s="15" t="n"/>
      <c r="J79" s="16" t="n"/>
    </row>
    <row r="80">
      <c r="A80" s="15" t="n"/>
      <c r="B80" s="16" t="n"/>
      <c r="C80" s="16" t="n"/>
      <c r="D80" s="15" t="n"/>
      <c r="E80" s="15" t="n"/>
      <c r="F80" s="15">
        <f>IFERROR(VLOOKUP(D80, Config!A:B, 2, FALSE), "")</f>
        <v/>
      </c>
      <c r="G80" s="15">
        <f>IF(E80="", "", WORKDAY(E80, F80))</f>
        <v/>
      </c>
      <c r="H80" s="15" t="n"/>
      <c r="I80" s="15" t="n"/>
      <c r="J80" s="16" t="n"/>
    </row>
    <row r="81">
      <c r="A81" s="15" t="n"/>
      <c r="B81" s="16" t="n"/>
      <c r="C81" s="16" t="n"/>
      <c r="D81" s="15" t="n"/>
      <c r="E81" s="15" t="n"/>
      <c r="F81" s="15">
        <f>IFERROR(VLOOKUP(D81, Config!A:B, 2, FALSE), "")</f>
        <v/>
      </c>
      <c r="G81" s="15">
        <f>IF(E81="", "", WORKDAY(E81, F81))</f>
        <v/>
      </c>
      <c r="H81" s="15" t="n"/>
      <c r="I81" s="15" t="n"/>
      <c r="J81" s="16" t="n"/>
    </row>
    <row r="82">
      <c r="A82" s="15" t="n"/>
      <c r="B82" s="16" t="n"/>
      <c r="C82" s="16" t="n"/>
      <c r="D82" s="15" t="n"/>
      <c r="E82" s="15" t="n"/>
      <c r="F82" s="15">
        <f>IFERROR(VLOOKUP(D82, Config!A:B, 2, FALSE), "")</f>
        <v/>
      </c>
      <c r="G82" s="15">
        <f>IF(E82="", "", WORKDAY(E82, F82))</f>
        <v/>
      </c>
      <c r="H82" s="15" t="n"/>
      <c r="I82" s="15" t="n"/>
      <c r="J82" s="16" t="n"/>
    </row>
    <row r="83">
      <c r="A83" s="15" t="n"/>
      <c r="B83" s="16" t="n"/>
      <c r="C83" s="16" t="n"/>
      <c r="D83" s="15" t="n"/>
      <c r="E83" s="15" t="n"/>
      <c r="F83" s="15">
        <f>IFERROR(VLOOKUP(D83, Config!A:B, 2, FALSE), "")</f>
        <v/>
      </c>
      <c r="G83" s="15">
        <f>IF(E83="", "", WORKDAY(E83, F83))</f>
        <v/>
      </c>
      <c r="H83" s="15" t="n"/>
      <c r="I83" s="15" t="n"/>
      <c r="J83" s="16" t="n"/>
    </row>
    <row r="84">
      <c r="A84" s="15" t="n"/>
      <c r="B84" s="16" t="n"/>
      <c r="C84" s="16" t="n"/>
      <c r="D84" s="15" t="n"/>
      <c r="E84" s="15" t="n"/>
      <c r="F84" s="15">
        <f>IFERROR(VLOOKUP(D84, Config!A:B, 2, FALSE), "")</f>
        <v/>
      </c>
      <c r="G84" s="15">
        <f>IF(E84="", "", WORKDAY(E84, F84))</f>
        <v/>
      </c>
      <c r="H84" s="15" t="n"/>
      <c r="I84" s="15" t="n"/>
      <c r="J84" s="16" t="n"/>
    </row>
    <row r="85">
      <c r="A85" s="15" t="n"/>
      <c r="B85" s="16" t="n"/>
      <c r="C85" s="16" t="n"/>
      <c r="D85" s="15" t="n"/>
      <c r="E85" s="15" t="n"/>
      <c r="F85" s="15">
        <f>IFERROR(VLOOKUP(D85, Config!A:B, 2, FALSE), "")</f>
        <v/>
      </c>
      <c r="G85" s="15">
        <f>IF(E85="", "", WORKDAY(E85, F85))</f>
        <v/>
      </c>
      <c r="H85" s="15" t="n"/>
      <c r="I85" s="15" t="n"/>
      <c r="J85" s="16" t="n"/>
    </row>
    <row r="86">
      <c r="A86" s="15" t="n"/>
      <c r="B86" s="16" t="n"/>
      <c r="C86" s="16" t="n"/>
      <c r="D86" s="15" t="n"/>
      <c r="E86" s="15" t="n"/>
      <c r="F86" s="15">
        <f>IFERROR(VLOOKUP(D86, Config!A:B, 2, FALSE), "")</f>
        <v/>
      </c>
      <c r="G86" s="15">
        <f>IF(E86="", "", WORKDAY(E86, F86))</f>
        <v/>
      </c>
      <c r="H86" s="15" t="n"/>
      <c r="I86" s="15" t="n"/>
      <c r="J86" s="16" t="n"/>
    </row>
    <row r="87">
      <c r="A87" s="15" t="n"/>
      <c r="B87" s="16" t="n"/>
      <c r="C87" s="16" t="n"/>
      <c r="D87" s="15" t="n"/>
      <c r="E87" s="15" t="n"/>
      <c r="F87" s="15">
        <f>IFERROR(VLOOKUP(D87, Config!A:B, 2, FALSE), "")</f>
        <v/>
      </c>
      <c r="G87" s="15">
        <f>IF(E87="", "", WORKDAY(E87, F87))</f>
        <v/>
      </c>
      <c r="H87" s="15" t="n"/>
      <c r="I87" s="15" t="n"/>
      <c r="J87" s="16" t="n"/>
    </row>
    <row r="88">
      <c r="A88" s="15" t="n"/>
      <c r="B88" s="16" t="n"/>
      <c r="C88" s="16" t="n"/>
      <c r="D88" s="15" t="n"/>
      <c r="E88" s="15" t="n"/>
      <c r="F88" s="15">
        <f>IFERROR(VLOOKUP(D88, Config!A:B, 2, FALSE), "")</f>
        <v/>
      </c>
      <c r="G88" s="15">
        <f>IF(E88="", "", WORKDAY(E88, F88))</f>
        <v/>
      </c>
      <c r="H88" s="15" t="n"/>
      <c r="I88" s="15" t="n"/>
      <c r="J88" s="16" t="n"/>
    </row>
    <row r="89">
      <c r="A89" s="15" t="n"/>
      <c r="B89" s="16" t="n"/>
      <c r="C89" s="16" t="n"/>
      <c r="D89" s="15" t="n"/>
      <c r="E89" s="15" t="n"/>
      <c r="F89" s="15">
        <f>IFERROR(VLOOKUP(D89, Config!A:B, 2, FALSE), "")</f>
        <v/>
      </c>
      <c r="G89" s="15">
        <f>IF(E89="", "", WORKDAY(E89, F89))</f>
        <v/>
      </c>
      <c r="H89" s="15" t="n"/>
      <c r="I89" s="15" t="n"/>
      <c r="J89" s="16" t="n"/>
    </row>
    <row r="90">
      <c r="A90" s="15" t="n"/>
      <c r="B90" s="16" t="n"/>
      <c r="C90" s="16" t="n"/>
      <c r="D90" s="15" t="n"/>
      <c r="E90" s="15" t="n"/>
      <c r="F90" s="15">
        <f>IFERROR(VLOOKUP(D90, Config!A:B, 2, FALSE), "")</f>
        <v/>
      </c>
      <c r="G90" s="15">
        <f>IF(E90="", "", WORKDAY(E90, F90))</f>
        <v/>
      </c>
      <c r="H90" s="15" t="n"/>
      <c r="I90" s="15" t="n"/>
      <c r="J90" s="16" t="n"/>
    </row>
    <row r="91">
      <c r="A91" s="15" t="n"/>
      <c r="B91" s="16" t="n"/>
      <c r="C91" s="16" t="n"/>
      <c r="D91" s="15" t="n"/>
      <c r="E91" s="15" t="n"/>
      <c r="F91" s="15">
        <f>IFERROR(VLOOKUP(D91, Config!A:B, 2, FALSE), "")</f>
        <v/>
      </c>
      <c r="G91" s="15">
        <f>IF(E91="", "", WORKDAY(E91, F91))</f>
        <v/>
      </c>
      <c r="H91" s="15" t="n"/>
      <c r="I91" s="15" t="n"/>
      <c r="J91" s="16" t="n"/>
    </row>
    <row r="92">
      <c r="A92" s="15" t="n"/>
      <c r="B92" s="16" t="n"/>
      <c r="C92" s="16" t="n"/>
      <c r="D92" s="15" t="n"/>
      <c r="E92" s="15" t="n"/>
      <c r="F92" s="15">
        <f>IFERROR(VLOOKUP(D92, Config!A:B, 2, FALSE), "")</f>
        <v/>
      </c>
      <c r="G92" s="15">
        <f>IF(E92="", "", WORKDAY(E92, F92))</f>
        <v/>
      </c>
      <c r="H92" s="15" t="n"/>
      <c r="I92" s="15" t="n"/>
      <c r="J92" s="16" t="n"/>
    </row>
    <row r="93">
      <c r="A93" s="15" t="n"/>
      <c r="B93" s="16" t="n"/>
      <c r="C93" s="16" t="n"/>
      <c r="D93" s="15" t="n"/>
      <c r="E93" s="15" t="n"/>
      <c r="F93" s="15">
        <f>IFERROR(VLOOKUP(D93, Config!A:B, 2, FALSE), "")</f>
        <v/>
      </c>
      <c r="G93" s="15">
        <f>IF(E93="", "", WORKDAY(E93, F93))</f>
        <v/>
      </c>
      <c r="H93" s="15" t="n"/>
      <c r="I93" s="15" t="n"/>
      <c r="J93" s="16" t="n"/>
    </row>
    <row r="94">
      <c r="A94" s="15" t="n"/>
      <c r="B94" s="16" t="n"/>
      <c r="C94" s="16" t="n"/>
      <c r="D94" s="15" t="n"/>
      <c r="E94" s="15" t="n"/>
      <c r="F94" s="15">
        <f>IFERROR(VLOOKUP(D94, Config!A:B, 2, FALSE), "")</f>
        <v/>
      </c>
      <c r="G94" s="15">
        <f>IF(E94="", "", WORKDAY(E94, F94))</f>
        <v/>
      </c>
      <c r="H94" s="15" t="n"/>
      <c r="I94" s="15" t="n"/>
      <c r="J94" s="16" t="n"/>
    </row>
    <row r="95">
      <c r="A95" s="15" t="n"/>
      <c r="B95" s="16" t="n"/>
      <c r="C95" s="16" t="n"/>
      <c r="D95" s="15" t="n"/>
      <c r="E95" s="15" t="n"/>
      <c r="F95" s="15">
        <f>IFERROR(VLOOKUP(D95, Config!A:B, 2, FALSE), "")</f>
        <v/>
      </c>
      <c r="G95" s="15">
        <f>IF(E95="", "", WORKDAY(E95, F95))</f>
        <v/>
      </c>
      <c r="H95" s="15" t="n"/>
      <c r="I95" s="15" t="n"/>
      <c r="J95" s="16" t="n"/>
    </row>
    <row r="96">
      <c r="A96" s="15" t="n"/>
      <c r="B96" s="16" t="n"/>
      <c r="C96" s="16" t="n"/>
      <c r="D96" s="15" t="n"/>
      <c r="E96" s="15" t="n"/>
      <c r="F96" s="15">
        <f>IFERROR(VLOOKUP(D96, Config!A:B, 2, FALSE), "")</f>
        <v/>
      </c>
      <c r="G96" s="15">
        <f>IF(E96="", "", WORKDAY(E96, F96))</f>
        <v/>
      </c>
      <c r="H96" s="15" t="n"/>
      <c r="I96" s="15" t="n"/>
      <c r="J96" s="16" t="n"/>
    </row>
    <row r="97">
      <c r="A97" s="15" t="n"/>
      <c r="B97" s="16" t="n"/>
      <c r="C97" s="16" t="n"/>
      <c r="D97" s="15" t="n"/>
      <c r="E97" s="15" t="n"/>
      <c r="F97" s="15">
        <f>IFERROR(VLOOKUP(D97, Config!A:B, 2, FALSE), "")</f>
        <v/>
      </c>
      <c r="G97" s="15">
        <f>IF(E97="", "", WORKDAY(E97, F97))</f>
        <v/>
      </c>
      <c r="H97" s="15" t="n"/>
      <c r="I97" s="15" t="n"/>
      <c r="J97" s="16" t="n"/>
    </row>
    <row r="98">
      <c r="A98" s="15" t="n"/>
      <c r="B98" s="16" t="n"/>
      <c r="C98" s="16" t="n"/>
      <c r="D98" s="15" t="n"/>
      <c r="E98" s="15" t="n"/>
      <c r="F98" s="15">
        <f>IFERROR(VLOOKUP(D98, Config!A:B, 2, FALSE), "")</f>
        <v/>
      </c>
      <c r="G98" s="15">
        <f>IF(E98="", "", WORKDAY(E98, F98))</f>
        <v/>
      </c>
      <c r="H98" s="15" t="n"/>
      <c r="I98" s="15" t="n"/>
      <c r="J98" s="16" t="n"/>
    </row>
    <row r="99">
      <c r="A99" s="15" t="n"/>
      <c r="B99" s="16" t="n"/>
      <c r="C99" s="16" t="n"/>
      <c r="D99" s="15" t="n"/>
      <c r="E99" s="15" t="n"/>
      <c r="F99" s="15">
        <f>IFERROR(VLOOKUP(D99, Config!A:B, 2, FALSE), "")</f>
        <v/>
      </c>
      <c r="G99" s="15">
        <f>IF(E99="", "", WORKDAY(E99, F99))</f>
        <v/>
      </c>
      <c r="H99" s="15" t="n"/>
      <c r="I99" s="15" t="n"/>
      <c r="J99" s="16" t="n"/>
    </row>
    <row r="100">
      <c r="A100" s="15" t="n"/>
      <c r="B100" s="16" t="n"/>
      <c r="C100" s="16" t="n"/>
      <c r="D100" s="15" t="n"/>
      <c r="E100" s="15" t="n"/>
      <c r="F100" s="15">
        <f>IFERROR(VLOOKUP(D100, Config!A:B, 2, FALSE), "")</f>
        <v/>
      </c>
      <c r="G100" s="15">
        <f>IF(E100="", "", WORKDAY(E100, F100))</f>
        <v/>
      </c>
      <c r="H100" s="15" t="n"/>
      <c r="I100" s="15" t="n"/>
      <c r="J100" s="16" t="n"/>
    </row>
  </sheetData>
  <conditionalFormatting sqref="D2:D1000">
    <cfRule type="cellIs" priority="1" operator="equal" dxfId="3">
      <formula>"Baixa"</formula>
    </cfRule>
    <cfRule type="cellIs" priority="2" operator="equal" dxfId="4">
      <formula>"Média"</formula>
    </cfRule>
    <cfRule type="cellIs" priority="3" operator="equal" dxfId="5">
      <formula>"Alta"</formula>
    </cfRule>
  </conditionalFormatting>
  <conditionalFormatting sqref="H2:H1000">
    <cfRule type="cellIs" priority="4" operator="equal" dxfId="3">
      <formula>"Finalizada"</formula>
    </cfRule>
  </conditionalFormatting>
  <dataValidations count="2">
    <dataValidation sqref="D2:D1000" showDropDown="1" showInputMessage="0" showErrorMessage="0" allowBlank="0" type="list">
      <formula1>"Baixa,Média,Alta"</formula1>
    </dataValidation>
    <dataValidation sqref="H2:H1000" showDropDown="1" showInputMessage="0" showErrorMessage="0" allowBlank="0" type="list">
      <formula1>"Pendente,Em Andamento,Finalizada"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25" customWidth="1" min="10" max="10"/>
  </cols>
  <sheetData>
    <row r="1">
      <c r="A1" s="14" t="inlineStr">
        <is>
          <t>ID</t>
        </is>
      </c>
      <c r="B1" s="14" t="inlineStr">
        <is>
          <t>Cliente</t>
        </is>
      </c>
      <c r="C1" s="14" t="inlineStr">
        <is>
          <t>Tipo de Ação</t>
        </is>
      </c>
      <c r="D1" s="14" t="inlineStr">
        <is>
          <t>Complexidade</t>
        </is>
      </c>
      <c r="E1" s="14" t="inlineStr">
        <is>
          <t>Data Envio Doc</t>
        </is>
      </c>
      <c r="F1" s="14" t="inlineStr">
        <is>
          <t>Prazo (Dias)</t>
        </is>
      </c>
      <c r="G1" s="14" t="inlineStr">
        <is>
          <t>Prazo Fatal</t>
        </is>
      </c>
      <c r="H1" s="14" t="inlineStr">
        <is>
          <t>Status</t>
        </is>
      </c>
      <c r="I1" s="14" t="inlineStr">
        <is>
          <t>Data Protocolo</t>
        </is>
      </c>
      <c r="J1" s="14" t="inlineStr">
        <is>
          <t>Advogado Responsável</t>
        </is>
      </c>
    </row>
    <row r="2">
      <c r="A2" s="15" t="n"/>
      <c r="B2" s="16" t="n"/>
      <c r="C2" s="16" t="n"/>
      <c r="D2" s="15" t="n"/>
      <c r="E2" s="15" t="n"/>
      <c r="F2" s="15">
        <f>IFERROR(VLOOKUP(D2, Config!A:B, 2, FALSE), "")</f>
        <v/>
      </c>
      <c r="G2" s="15">
        <f>IF(E2="", "", WORKDAY(E2, F2))</f>
        <v/>
      </c>
      <c r="H2" s="15" t="n"/>
      <c r="I2" s="15" t="n"/>
      <c r="J2" s="16" t="n"/>
    </row>
    <row r="3">
      <c r="A3" s="15" t="n"/>
      <c r="B3" s="16" t="n"/>
      <c r="C3" s="16" t="n"/>
      <c r="D3" s="15" t="n"/>
      <c r="E3" s="15" t="n"/>
      <c r="F3" s="15">
        <f>IFERROR(VLOOKUP(D3, Config!A:B, 2, FALSE), "")</f>
        <v/>
      </c>
      <c r="G3" s="15">
        <f>IF(E3="", "", WORKDAY(E3, F3))</f>
        <v/>
      </c>
      <c r="H3" s="15" t="n"/>
      <c r="I3" s="15" t="n"/>
      <c r="J3" s="16" t="n"/>
    </row>
    <row r="4">
      <c r="A4" s="15" t="n"/>
      <c r="B4" s="16" t="n"/>
      <c r="C4" s="16" t="n"/>
      <c r="D4" s="15" t="n"/>
      <c r="E4" s="15" t="n"/>
      <c r="F4" s="15">
        <f>IFERROR(VLOOKUP(D4, Config!A:B, 2, FALSE), "")</f>
        <v/>
      </c>
      <c r="G4" s="15">
        <f>IF(E4="", "", WORKDAY(E4, F4))</f>
        <v/>
      </c>
      <c r="H4" s="15" t="n"/>
      <c r="I4" s="15" t="n"/>
      <c r="J4" s="16" t="n"/>
    </row>
    <row r="5">
      <c r="A5" s="15" t="n"/>
      <c r="B5" s="16" t="n"/>
      <c r="C5" s="16" t="n"/>
      <c r="D5" s="15" t="n"/>
      <c r="E5" s="15" t="n"/>
      <c r="F5" s="15">
        <f>IFERROR(VLOOKUP(D5, Config!A:B, 2, FALSE), "")</f>
        <v/>
      </c>
      <c r="G5" s="15">
        <f>IF(E5="", "", WORKDAY(E5, F5))</f>
        <v/>
      </c>
      <c r="H5" s="15" t="n"/>
      <c r="I5" s="15" t="n"/>
      <c r="J5" s="16" t="n"/>
    </row>
    <row r="6">
      <c r="A6" s="15" t="n"/>
      <c r="B6" s="16" t="n"/>
      <c r="C6" s="16" t="n"/>
      <c r="D6" s="15" t="n"/>
      <c r="E6" s="15" t="n"/>
      <c r="F6" s="15">
        <f>IFERROR(VLOOKUP(D6, Config!A:B, 2, FALSE), "")</f>
        <v/>
      </c>
      <c r="G6" s="15">
        <f>IF(E6="", "", WORKDAY(E6, F6))</f>
        <v/>
      </c>
      <c r="H6" s="15" t="n"/>
      <c r="I6" s="15" t="n"/>
      <c r="J6" s="16" t="n"/>
    </row>
    <row r="7">
      <c r="A7" s="15" t="n"/>
      <c r="B7" s="16" t="n"/>
      <c r="C7" s="16" t="n"/>
      <c r="D7" s="15" t="n"/>
      <c r="E7" s="15" t="n"/>
      <c r="F7" s="15">
        <f>IFERROR(VLOOKUP(D7, Config!A:B, 2, FALSE), "")</f>
        <v/>
      </c>
      <c r="G7" s="15">
        <f>IF(E7="", "", WORKDAY(E7, F7))</f>
        <v/>
      </c>
      <c r="H7" s="15" t="n"/>
      <c r="I7" s="15" t="n"/>
      <c r="J7" s="16" t="n"/>
    </row>
    <row r="8">
      <c r="A8" s="15" t="n"/>
      <c r="B8" s="16" t="n"/>
      <c r="C8" s="16" t="n"/>
      <c r="D8" s="15" t="n"/>
      <c r="E8" s="15" t="n"/>
      <c r="F8" s="15">
        <f>IFERROR(VLOOKUP(D8, Config!A:B, 2, FALSE), "")</f>
        <v/>
      </c>
      <c r="G8" s="15">
        <f>IF(E8="", "", WORKDAY(E8, F8))</f>
        <v/>
      </c>
      <c r="H8" s="15" t="n"/>
      <c r="I8" s="15" t="n"/>
      <c r="J8" s="16" t="n"/>
    </row>
    <row r="9">
      <c r="A9" s="15" t="n"/>
      <c r="B9" s="16" t="n"/>
      <c r="C9" s="16" t="n"/>
      <c r="D9" s="15" t="n"/>
      <c r="E9" s="15" t="n"/>
      <c r="F9" s="15">
        <f>IFERROR(VLOOKUP(D9, Config!A:B, 2, FALSE), "")</f>
        <v/>
      </c>
      <c r="G9" s="15">
        <f>IF(E9="", "", WORKDAY(E9, F9))</f>
        <v/>
      </c>
      <c r="H9" s="15" t="n"/>
      <c r="I9" s="15" t="n"/>
      <c r="J9" s="16" t="n"/>
    </row>
    <row r="10">
      <c r="A10" s="15" t="n"/>
      <c r="B10" s="16" t="n"/>
      <c r="C10" s="16" t="n"/>
      <c r="D10" s="15" t="n"/>
      <c r="E10" s="15" t="n"/>
      <c r="F10" s="15">
        <f>IFERROR(VLOOKUP(D10, Config!A:B, 2, FALSE), "")</f>
        <v/>
      </c>
      <c r="G10" s="15">
        <f>IF(E10="", "", WORKDAY(E10, F10))</f>
        <v/>
      </c>
      <c r="H10" s="15" t="n"/>
      <c r="I10" s="15" t="n"/>
      <c r="J10" s="16" t="n"/>
    </row>
    <row r="11">
      <c r="A11" s="15" t="n"/>
      <c r="B11" s="16" t="n"/>
      <c r="C11" s="16" t="n"/>
      <c r="D11" s="15" t="n"/>
      <c r="E11" s="15" t="n"/>
      <c r="F11" s="15">
        <f>IFERROR(VLOOKUP(D11, Config!A:B, 2, FALSE), "")</f>
        <v/>
      </c>
      <c r="G11" s="15">
        <f>IF(E11="", "", WORKDAY(E11, F11))</f>
        <v/>
      </c>
      <c r="H11" s="15" t="n"/>
      <c r="I11" s="15" t="n"/>
      <c r="J11" s="16" t="n"/>
    </row>
    <row r="12">
      <c r="A12" s="15" t="n"/>
      <c r="B12" s="16" t="n"/>
      <c r="C12" s="16" t="n"/>
      <c r="D12" s="15" t="n"/>
      <c r="E12" s="15" t="n"/>
      <c r="F12" s="15">
        <f>IFERROR(VLOOKUP(D12, Config!A:B, 2, FALSE), "")</f>
        <v/>
      </c>
      <c r="G12" s="15">
        <f>IF(E12="", "", WORKDAY(E12, F12))</f>
        <v/>
      </c>
      <c r="H12" s="15" t="n"/>
      <c r="I12" s="15" t="n"/>
      <c r="J12" s="16" t="n"/>
    </row>
    <row r="13">
      <c r="A13" s="15" t="n"/>
      <c r="B13" s="16" t="n"/>
      <c r="C13" s="16" t="n"/>
      <c r="D13" s="15" t="n"/>
      <c r="E13" s="15" t="n"/>
      <c r="F13" s="15">
        <f>IFERROR(VLOOKUP(D13, Config!A:B, 2, FALSE), "")</f>
        <v/>
      </c>
      <c r="G13" s="15">
        <f>IF(E13="", "", WORKDAY(E13, F13))</f>
        <v/>
      </c>
      <c r="H13" s="15" t="n"/>
      <c r="I13" s="15" t="n"/>
      <c r="J13" s="16" t="n"/>
    </row>
    <row r="14">
      <c r="A14" s="15" t="n"/>
      <c r="B14" s="16" t="n"/>
      <c r="C14" s="16" t="n"/>
      <c r="D14" s="15" t="n"/>
      <c r="E14" s="15" t="n"/>
      <c r="F14" s="15">
        <f>IFERROR(VLOOKUP(D14, Config!A:B, 2, FALSE), "")</f>
        <v/>
      </c>
      <c r="G14" s="15">
        <f>IF(E14="", "", WORKDAY(E14, F14))</f>
        <v/>
      </c>
      <c r="H14" s="15" t="n"/>
      <c r="I14" s="15" t="n"/>
      <c r="J14" s="16" t="n"/>
    </row>
    <row r="15">
      <c r="A15" s="15" t="n"/>
      <c r="B15" s="16" t="n"/>
      <c r="C15" s="16" t="n"/>
      <c r="D15" s="15" t="n"/>
      <c r="E15" s="15" t="n"/>
      <c r="F15" s="15">
        <f>IFERROR(VLOOKUP(D15, Config!A:B, 2, FALSE), "")</f>
        <v/>
      </c>
      <c r="G15" s="15">
        <f>IF(E15="", "", WORKDAY(E15, F15))</f>
        <v/>
      </c>
      <c r="H15" s="15" t="n"/>
      <c r="I15" s="15" t="n"/>
      <c r="J15" s="16" t="n"/>
    </row>
    <row r="16">
      <c r="A16" s="15" t="n"/>
      <c r="B16" s="16" t="n"/>
      <c r="C16" s="16" t="n"/>
      <c r="D16" s="15" t="n"/>
      <c r="E16" s="15" t="n"/>
      <c r="F16" s="15">
        <f>IFERROR(VLOOKUP(D16, Config!A:B, 2, FALSE), "")</f>
        <v/>
      </c>
      <c r="G16" s="15">
        <f>IF(E16="", "", WORKDAY(E16, F16))</f>
        <v/>
      </c>
      <c r="H16" s="15" t="n"/>
      <c r="I16" s="15" t="n"/>
      <c r="J16" s="16" t="n"/>
    </row>
    <row r="17">
      <c r="A17" s="15" t="n"/>
      <c r="B17" s="16" t="n"/>
      <c r="C17" s="16" t="n"/>
      <c r="D17" s="15" t="n"/>
      <c r="E17" s="15" t="n"/>
      <c r="F17" s="15">
        <f>IFERROR(VLOOKUP(D17, Config!A:B, 2, FALSE), "")</f>
        <v/>
      </c>
      <c r="G17" s="15">
        <f>IF(E17="", "", WORKDAY(E17, F17))</f>
        <v/>
      </c>
      <c r="H17" s="15" t="n"/>
      <c r="I17" s="15" t="n"/>
      <c r="J17" s="16" t="n"/>
    </row>
    <row r="18">
      <c r="A18" s="15" t="n"/>
      <c r="B18" s="16" t="n"/>
      <c r="C18" s="16" t="n"/>
      <c r="D18" s="15" t="n"/>
      <c r="E18" s="15" t="n"/>
      <c r="F18" s="15">
        <f>IFERROR(VLOOKUP(D18, Config!A:B, 2, FALSE), "")</f>
        <v/>
      </c>
      <c r="G18" s="15">
        <f>IF(E18="", "", WORKDAY(E18, F18))</f>
        <v/>
      </c>
      <c r="H18" s="15" t="n"/>
      <c r="I18" s="15" t="n"/>
      <c r="J18" s="16" t="n"/>
    </row>
    <row r="19">
      <c r="A19" s="15" t="n"/>
      <c r="B19" s="16" t="n"/>
      <c r="C19" s="16" t="n"/>
      <c r="D19" s="15" t="n"/>
      <c r="E19" s="15" t="n"/>
      <c r="F19" s="15">
        <f>IFERROR(VLOOKUP(D19, Config!A:B, 2, FALSE), "")</f>
        <v/>
      </c>
      <c r="G19" s="15">
        <f>IF(E19="", "", WORKDAY(E19, F19))</f>
        <v/>
      </c>
      <c r="H19" s="15" t="n"/>
      <c r="I19" s="15" t="n"/>
      <c r="J19" s="16" t="n"/>
    </row>
    <row r="20">
      <c r="A20" s="15" t="n"/>
      <c r="B20" s="16" t="n"/>
      <c r="C20" s="16" t="n"/>
      <c r="D20" s="15" t="n"/>
      <c r="E20" s="15" t="n"/>
      <c r="F20" s="15">
        <f>IFERROR(VLOOKUP(D20, Config!A:B, 2, FALSE), "")</f>
        <v/>
      </c>
      <c r="G20" s="15">
        <f>IF(E20="", "", WORKDAY(E20, F20))</f>
        <v/>
      </c>
      <c r="H20" s="15" t="n"/>
      <c r="I20" s="15" t="n"/>
      <c r="J20" s="16" t="n"/>
    </row>
    <row r="21">
      <c r="A21" s="15" t="n"/>
      <c r="B21" s="16" t="n"/>
      <c r="C21" s="16" t="n"/>
      <c r="D21" s="15" t="n"/>
      <c r="E21" s="15" t="n"/>
      <c r="F21" s="15">
        <f>IFERROR(VLOOKUP(D21, Config!A:B, 2, FALSE), "")</f>
        <v/>
      </c>
      <c r="G21" s="15">
        <f>IF(E21="", "", WORKDAY(E21, F21))</f>
        <v/>
      </c>
      <c r="H21" s="15" t="n"/>
      <c r="I21" s="15" t="n"/>
      <c r="J21" s="16" t="n"/>
    </row>
    <row r="22">
      <c r="A22" s="15" t="n"/>
      <c r="B22" s="16" t="n"/>
      <c r="C22" s="16" t="n"/>
      <c r="D22" s="15" t="n"/>
      <c r="E22" s="15" t="n"/>
      <c r="F22" s="15">
        <f>IFERROR(VLOOKUP(D22, Config!A:B, 2, FALSE), "")</f>
        <v/>
      </c>
      <c r="G22" s="15">
        <f>IF(E22="", "", WORKDAY(E22, F22))</f>
        <v/>
      </c>
      <c r="H22" s="15" t="n"/>
      <c r="I22" s="15" t="n"/>
      <c r="J22" s="16" t="n"/>
    </row>
    <row r="23">
      <c r="A23" s="15" t="n"/>
      <c r="B23" s="16" t="n"/>
      <c r="C23" s="16" t="n"/>
      <c r="D23" s="15" t="n"/>
      <c r="E23" s="15" t="n"/>
      <c r="F23" s="15">
        <f>IFERROR(VLOOKUP(D23, Config!A:B, 2, FALSE), "")</f>
        <v/>
      </c>
      <c r="G23" s="15">
        <f>IF(E23="", "", WORKDAY(E23, F23))</f>
        <v/>
      </c>
      <c r="H23" s="15" t="n"/>
      <c r="I23" s="15" t="n"/>
      <c r="J23" s="16" t="n"/>
    </row>
    <row r="24">
      <c r="A24" s="15" t="n"/>
      <c r="B24" s="16" t="n"/>
      <c r="C24" s="16" t="n"/>
      <c r="D24" s="15" t="n"/>
      <c r="E24" s="15" t="n"/>
      <c r="F24" s="15">
        <f>IFERROR(VLOOKUP(D24, Config!A:B, 2, FALSE), "")</f>
        <v/>
      </c>
      <c r="G24" s="15">
        <f>IF(E24="", "", WORKDAY(E24, F24))</f>
        <v/>
      </c>
      <c r="H24" s="15" t="n"/>
      <c r="I24" s="15" t="n"/>
      <c r="J24" s="16" t="n"/>
    </row>
    <row r="25">
      <c r="A25" s="15" t="n"/>
      <c r="B25" s="16" t="n"/>
      <c r="C25" s="16" t="n"/>
      <c r="D25" s="15" t="n"/>
      <c r="E25" s="15" t="n"/>
      <c r="F25" s="15">
        <f>IFERROR(VLOOKUP(D25, Config!A:B, 2, FALSE), "")</f>
        <v/>
      </c>
      <c r="G25" s="15">
        <f>IF(E25="", "", WORKDAY(E25, F25))</f>
        <v/>
      </c>
      <c r="H25" s="15" t="n"/>
      <c r="I25" s="15" t="n"/>
      <c r="J25" s="16" t="n"/>
    </row>
    <row r="26">
      <c r="A26" s="15" t="n"/>
      <c r="B26" s="16" t="n"/>
      <c r="C26" s="16" t="n"/>
      <c r="D26" s="15" t="n"/>
      <c r="E26" s="15" t="n"/>
      <c r="F26" s="15">
        <f>IFERROR(VLOOKUP(D26, Config!A:B, 2, FALSE), "")</f>
        <v/>
      </c>
      <c r="G26" s="15">
        <f>IF(E26="", "", WORKDAY(E26, F26))</f>
        <v/>
      </c>
      <c r="H26" s="15" t="n"/>
      <c r="I26" s="15" t="n"/>
      <c r="J26" s="16" t="n"/>
    </row>
    <row r="27">
      <c r="A27" s="15" t="n"/>
      <c r="B27" s="16" t="n"/>
      <c r="C27" s="16" t="n"/>
      <c r="D27" s="15" t="n"/>
      <c r="E27" s="15" t="n"/>
      <c r="F27" s="15">
        <f>IFERROR(VLOOKUP(D27, Config!A:B, 2, FALSE), "")</f>
        <v/>
      </c>
      <c r="G27" s="15">
        <f>IF(E27="", "", WORKDAY(E27, F27))</f>
        <v/>
      </c>
      <c r="H27" s="15" t="n"/>
      <c r="I27" s="15" t="n"/>
      <c r="J27" s="16" t="n"/>
    </row>
    <row r="28">
      <c r="A28" s="15" t="n"/>
      <c r="B28" s="16" t="n"/>
      <c r="C28" s="16" t="n"/>
      <c r="D28" s="15" t="n"/>
      <c r="E28" s="15" t="n"/>
      <c r="F28" s="15">
        <f>IFERROR(VLOOKUP(D28, Config!A:B, 2, FALSE), "")</f>
        <v/>
      </c>
      <c r="G28" s="15">
        <f>IF(E28="", "", WORKDAY(E28, F28))</f>
        <v/>
      </c>
      <c r="H28" s="15" t="n"/>
      <c r="I28" s="15" t="n"/>
      <c r="J28" s="16" t="n"/>
    </row>
    <row r="29">
      <c r="A29" s="15" t="n"/>
      <c r="B29" s="16" t="n"/>
      <c r="C29" s="16" t="n"/>
      <c r="D29" s="15" t="n"/>
      <c r="E29" s="15" t="n"/>
      <c r="F29" s="15">
        <f>IFERROR(VLOOKUP(D29, Config!A:B, 2, FALSE), "")</f>
        <v/>
      </c>
      <c r="G29" s="15">
        <f>IF(E29="", "", WORKDAY(E29, F29))</f>
        <v/>
      </c>
      <c r="H29" s="15" t="n"/>
      <c r="I29" s="15" t="n"/>
      <c r="J29" s="16" t="n"/>
    </row>
    <row r="30">
      <c r="A30" s="15" t="n"/>
      <c r="B30" s="16" t="n"/>
      <c r="C30" s="16" t="n"/>
      <c r="D30" s="15" t="n"/>
      <c r="E30" s="15" t="n"/>
      <c r="F30" s="15">
        <f>IFERROR(VLOOKUP(D30, Config!A:B, 2, FALSE), "")</f>
        <v/>
      </c>
      <c r="G30" s="15">
        <f>IF(E30="", "", WORKDAY(E30, F30))</f>
        <v/>
      </c>
      <c r="H30" s="15" t="n"/>
      <c r="I30" s="15" t="n"/>
      <c r="J30" s="16" t="n"/>
    </row>
    <row r="31">
      <c r="A31" s="15" t="n"/>
      <c r="B31" s="16" t="n"/>
      <c r="C31" s="16" t="n"/>
      <c r="D31" s="15" t="n"/>
      <c r="E31" s="15" t="n"/>
      <c r="F31" s="15">
        <f>IFERROR(VLOOKUP(D31, Config!A:B, 2, FALSE), "")</f>
        <v/>
      </c>
      <c r="G31" s="15">
        <f>IF(E31="", "", WORKDAY(E31, F31))</f>
        <v/>
      </c>
      <c r="H31" s="15" t="n"/>
      <c r="I31" s="15" t="n"/>
      <c r="J31" s="16" t="n"/>
    </row>
    <row r="32">
      <c r="A32" s="15" t="n"/>
      <c r="B32" s="16" t="n"/>
      <c r="C32" s="16" t="n"/>
      <c r="D32" s="15" t="n"/>
      <c r="E32" s="15" t="n"/>
      <c r="F32" s="15">
        <f>IFERROR(VLOOKUP(D32, Config!A:B, 2, FALSE), "")</f>
        <v/>
      </c>
      <c r="G32" s="15">
        <f>IF(E32="", "", WORKDAY(E32, F32))</f>
        <v/>
      </c>
      <c r="H32" s="15" t="n"/>
      <c r="I32" s="15" t="n"/>
      <c r="J32" s="16" t="n"/>
    </row>
    <row r="33">
      <c r="A33" s="15" t="n"/>
      <c r="B33" s="16" t="n"/>
      <c r="C33" s="16" t="n"/>
      <c r="D33" s="15" t="n"/>
      <c r="E33" s="15" t="n"/>
      <c r="F33" s="15">
        <f>IFERROR(VLOOKUP(D33, Config!A:B, 2, FALSE), "")</f>
        <v/>
      </c>
      <c r="G33" s="15">
        <f>IF(E33="", "", WORKDAY(E33, F33))</f>
        <v/>
      </c>
      <c r="H33" s="15" t="n"/>
      <c r="I33" s="15" t="n"/>
      <c r="J33" s="16" t="n"/>
    </row>
    <row r="34">
      <c r="A34" s="15" t="n"/>
      <c r="B34" s="16" t="n"/>
      <c r="C34" s="16" t="n"/>
      <c r="D34" s="15" t="n"/>
      <c r="E34" s="15" t="n"/>
      <c r="F34" s="15">
        <f>IFERROR(VLOOKUP(D34, Config!A:B, 2, FALSE), "")</f>
        <v/>
      </c>
      <c r="G34" s="15">
        <f>IF(E34="", "", WORKDAY(E34, F34))</f>
        <v/>
      </c>
      <c r="H34" s="15" t="n"/>
      <c r="I34" s="15" t="n"/>
      <c r="J34" s="16" t="n"/>
    </row>
    <row r="35">
      <c r="A35" s="15" t="n"/>
      <c r="B35" s="16" t="n"/>
      <c r="C35" s="16" t="n"/>
      <c r="D35" s="15" t="n"/>
      <c r="E35" s="15" t="n"/>
      <c r="F35" s="15">
        <f>IFERROR(VLOOKUP(D35, Config!A:B, 2, FALSE), "")</f>
        <v/>
      </c>
      <c r="G35" s="15">
        <f>IF(E35="", "", WORKDAY(E35, F35))</f>
        <v/>
      </c>
      <c r="H35" s="15" t="n"/>
      <c r="I35" s="15" t="n"/>
      <c r="J35" s="16" t="n"/>
    </row>
    <row r="36">
      <c r="A36" s="15" t="n"/>
      <c r="B36" s="16" t="n"/>
      <c r="C36" s="16" t="n"/>
      <c r="D36" s="15" t="n"/>
      <c r="E36" s="15" t="n"/>
      <c r="F36" s="15">
        <f>IFERROR(VLOOKUP(D36, Config!A:B, 2, FALSE), "")</f>
        <v/>
      </c>
      <c r="G36" s="15">
        <f>IF(E36="", "", WORKDAY(E36, F36))</f>
        <v/>
      </c>
      <c r="H36" s="15" t="n"/>
      <c r="I36" s="15" t="n"/>
      <c r="J36" s="16" t="n"/>
    </row>
    <row r="37">
      <c r="A37" s="15" t="n"/>
      <c r="B37" s="16" t="n"/>
      <c r="C37" s="16" t="n"/>
      <c r="D37" s="15" t="n"/>
      <c r="E37" s="15" t="n"/>
      <c r="F37" s="15">
        <f>IFERROR(VLOOKUP(D37, Config!A:B, 2, FALSE), "")</f>
        <v/>
      </c>
      <c r="G37" s="15">
        <f>IF(E37="", "", WORKDAY(E37, F37))</f>
        <v/>
      </c>
      <c r="H37" s="15" t="n"/>
      <c r="I37" s="15" t="n"/>
      <c r="J37" s="16" t="n"/>
    </row>
    <row r="38">
      <c r="A38" s="15" t="n"/>
      <c r="B38" s="16" t="n"/>
      <c r="C38" s="16" t="n"/>
      <c r="D38" s="15" t="n"/>
      <c r="E38" s="15" t="n"/>
      <c r="F38" s="15">
        <f>IFERROR(VLOOKUP(D38, Config!A:B, 2, FALSE), "")</f>
        <v/>
      </c>
      <c r="G38" s="15">
        <f>IF(E38="", "", WORKDAY(E38, F38))</f>
        <v/>
      </c>
      <c r="H38" s="15" t="n"/>
      <c r="I38" s="15" t="n"/>
      <c r="J38" s="16" t="n"/>
    </row>
    <row r="39">
      <c r="A39" s="15" t="n"/>
      <c r="B39" s="16" t="n"/>
      <c r="C39" s="16" t="n"/>
      <c r="D39" s="15" t="n"/>
      <c r="E39" s="15" t="n"/>
      <c r="F39" s="15">
        <f>IFERROR(VLOOKUP(D39, Config!A:B, 2, FALSE), "")</f>
        <v/>
      </c>
      <c r="G39" s="15">
        <f>IF(E39="", "", WORKDAY(E39, F39))</f>
        <v/>
      </c>
      <c r="H39" s="15" t="n"/>
      <c r="I39" s="15" t="n"/>
      <c r="J39" s="16" t="n"/>
    </row>
    <row r="40">
      <c r="A40" s="15" t="n"/>
      <c r="B40" s="16" t="n"/>
      <c r="C40" s="16" t="n"/>
      <c r="D40" s="15" t="n"/>
      <c r="E40" s="15" t="n"/>
      <c r="F40" s="15">
        <f>IFERROR(VLOOKUP(D40, Config!A:B, 2, FALSE), "")</f>
        <v/>
      </c>
      <c r="G40" s="15">
        <f>IF(E40="", "", WORKDAY(E40, F40))</f>
        <v/>
      </c>
      <c r="H40" s="15" t="n"/>
      <c r="I40" s="15" t="n"/>
      <c r="J40" s="16" t="n"/>
    </row>
    <row r="41">
      <c r="A41" s="15" t="n"/>
      <c r="B41" s="16" t="n"/>
      <c r="C41" s="16" t="n"/>
      <c r="D41" s="15" t="n"/>
      <c r="E41" s="15" t="n"/>
      <c r="F41" s="15">
        <f>IFERROR(VLOOKUP(D41, Config!A:B, 2, FALSE), "")</f>
        <v/>
      </c>
      <c r="G41" s="15">
        <f>IF(E41="", "", WORKDAY(E41, F41))</f>
        <v/>
      </c>
      <c r="H41" s="15" t="n"/>
      <c r="I41" s="15" t="n"/>
      <c r="J41" s="16" t="n"/>
    </row>
    <row r="42">
      <c r="A42" s="15" t="n"/>
      <c r="B42" s="16" t="n"/>
      <c r="C42" s="16" t="n"/>
      <c r="D42" s="15" t="n"/>
      <c r="E42" s="15" t="n"/>
      <c r="F42" s="15">
        <f>IFERROR(VLOOKUP(D42, Config!A:B, 2, FALSE), "")</f>
        <v/>
      </c>
      <c r="G42" s="15">
        <f>IF(E42="", "", WORKDAY(E42, F42))</f>
        <v/>
      </c>
      <c r="H42" s="15" t="n"/>
      <c r="I42" s="15" t="n"/>
      <c r="J42" s="16" t="n"/>
    </row>
    <row r="43">
      <c r="A43" s="15" t="n"/>
      <c r="B43" s="16" t="n"/>
      <c r="C43" s="16" t="n"/>
      <c r="D43" s="15" t="n"/>
      <c r="E43" s="15" t="n"/>
      <c r="F43" s="15">
        <f>IFERROR(VLOOKUP(D43, Config!A:B, 2, FALSE), "")</f>
        <v/>
      </c>
      <c r="G43" s="15">
        <f>IF(E43="", "", WORKDAY(E43, F43))</f>
        <v/>
      </c>
      <c r="H43" s="15" t="n"/>
      <c r="I43" s="15" t="n"/>
      <c r="J43" s="16" t="n"/>
    </row>
    <row r="44">
      <c r="A44" s="15" t="n"/>
      <c r="B44" s="16" t="n"/>
      <c r="C44" s="16" t="n"/>
      <c r="D44" s="15" t="n"/>
      <c r="E44" s="15" t="n"/>
      <c r="F44" s="15">
        <f>IFERROR(VLOOKUP(D44, Config!A:B, 2, FALSE), "")</f>
        <v/>
      </c>
      <c r="G44" s="15">
        <f>IF(E44="", "", WORKDAY(E44, F44))</f>
        <v/>
      </c>
      <c r="H44" s="15" t="n"/>
      <c r="I44" s="15" t="n"/>
      <c r="J44" s="16" t="n"/>
    </row>
    <row r="45">
      <c r="A45" s="15" t="n"/>
      <c r="B45" s="16" t="n"/>
      <c r="C45" s="16" t="n"/>
      <c r="D45" s="15" t="n"/>
      <c r="E45" s="15" t="n"/>
      <c r="F45" s="15">
        <f>IFERROR(VLOOKUP(D45, Config!A:B, 2, FALSE), "")</f>
        <v/>
      </c>
      <c r="G45" s="15">
        <f>IF(E45="", "", WORKDAY(E45, F45))</f>
        <v/>
      </c>
      <c r="H45" s="15" t="n"/>
      <c r="I45" s="15" t="n"/>
      <c r="J45" s="16" t="n"/>
    </row>
    <row r="46">
      <c r="A46" s="15" t="n"/>
      <c r="B46" s="16" t="n"/>
      <c r="C46" s="16" t="n"/>
      <c r="D46" s="15" t="n"/>
      <c r="E46" s="15" t="n"/>
      <c r="F46" s="15">
        <f>IFERROR(VLOOKUP(D46, Config!A:B, 2, FALSE), "")</f>
        <v/>
      </c>
      <c r="G46" s="15">
        <f>IF(E46="", "", WORKDAY(E46, F46))</f>
        <v/>
      </c>
      <c r="H46" s="15" t="n"/>
      <c r="I46" s="15" t="n"/>
      <c r="J46" s="16" t="n"/>
    </row>
    <row r="47">
      <c r="A47" s="15" t="n"/>
      <c r="B47" s="16" t="n"/>
      <c r="C47" s="16" t="n"/>
      <c r="D47" s="15" t="n"/>
      <c r="E47" s="15" t="n"/>
      <c r="F47" s="15">
        <f>IFERROR(VLOOKUP(D47, Config!A:B, 2, FALSE), "")</f>
        <v/>
      </c>
      <c r="G47" s="15">
        <f>IF(E47="", "", WORKDAY(E47, F47))</f>
        <v/>
      </c>
      <c r="H47" s="15" t="n"/>
      <c r="I47" s="15" t="n"/>
      <c r="J47" s="16" t="n"/>
    </row>
    <row r="48">
      <c r="A48" s="15" t="n"/>
      <c r="B48" s="16" t="n"/>
      <c r="C48" s="16" t="n"/>
      <c r="D48" s="15" t="n"/>
      <c r="E48" s="15" t="n"/>
      <c r="F48" s="15">
        <f>IFERROR(VLOOKUP(D48, Config!A:B, 2, FALSE), "")</f>
        <v/>
      </c>
      <c r="G48" s="15">
        <f>IF(E48="", "", WORKDAY(E48, F48))</f>
        <v/>
      </c>
      <c r="H48" s="15" t="n"/>
      <c r="I48" s="15" t="n"/>
      <c r="J48" s="16" t="n"/>
    </row>
    <row r="49">
      <c r="A49" s="15" t="n"/>
      <c r="B49" s="16" t="n"/>
      <c r="C49" s="16" t="n"/>
      <c r="D49" s="15" t="n"/>
      <c r="E49" s="15" t="n"/>
      <c r="F49" s="15">
        <f>IFERROR(VLOOKUP(D49, Config!A:B, 2, FALSE), "")</f>
        <v/>
      </c>
      <c r="G49" s="15">
        <f>IF(E49="", "", WORKDAY(E49, F49))</f>
        <v/>
      </c>
      <c r="H49" s="15" t="n"/>
      <c r="I49" s="15" t="n"/>
      <c r="J49" s="16" t="n"/>
    </row>
    <row r="50">
      <c r="A50" s="15" t="n"/>
      <c r="B50" s="16" t="n"/>
      <c r="C50" s="16" t="n"/>
      <c r="D50" s="15" t="n"/>
      <c r="E50" s="15" t="n"/>
      <c r="F50" s="15">
        <f>IFERROR(VLOOKUP(D50, Config!A:B, 2, FALSE), "")</f>
        <v/>
      </c>
      <c r="G50" s="15">
        <f>IF(E50="", "", WORKDAY(E50, F50))</f>
        <v/>
      </c>
      <c r="H50" s="15" t="n"/>
      <c r="I50" s="15" t="n"/>
      <c r="J50" s="16" t="n"/>
    </row>
    <row r="51">
      <c r="A51" s="15" t="n"/>
      <c r="B51" s="16" t="n"/>
      <c r="C51" s="16" t="n"/>
      <c r="D51" s="15" t="n"/>
      <c r="E51" s="15" t="n"/>
      <c r="F51" s="15">
        <f>IFERROR(VLOOKUP(D51, Config!A:B, 2, FALSE), "")</f>
        <v/>
      </c>
      <c r="G51" s="15">
        <f>IF(E51="", "", WORKDAY(E51, F51))</f>
        <v/>
      </c>
      <c r="H51" s="15" t="n"/>
      <c r="I51" s="15" t="n"/>
      <c r="J51" s="16" t="n"/>
    </row>
    <row r="52">
      <c r="A52" s="15" t="n"/>
      <c r="B52" s="16" t="n"/>
      <c r="C52" s="16" t="n"/>
      <c r="D52" s="15" t="n"/>
      <c r="E52" s="15" t="n"/>
      <c r="F52" s="15">
        <f>IFERROR(VLOOKUP(D52, Config!A:B, 2, FALSE), "")</f>
        <v/>
      </c>
      <c r="G52" s="15">
        <f>IF(E52="", "", WORKDAY(E52, F52))</f>
        <v/>
      </c>
      <c r="H52" s="15" t="n"/>
      <c r="I52" s="15" t="n"/>
      <c r="J52" s="16" t="n"/>
    </row>
    <row r="53">
      <c r="A53" s="15" t="n"/>
      <c r="B53" s="16" t="n"/>
      <c r="C53" s="16" t="n"/>
      <c r="D53" s="15" t="n"/>
      <c r="E53" s="15" t="n"/>
      <c r="F53" s="15">
        <f>IFERROR(VLOOKUP(D53, Config!A:B, 2, FALSE), "")</f>
        <v/>
      </c>
      <c r="G53" s="15">
        <f>IF(E53="", "", WORKDAY(E53, F53))</f>
        <v/>
      </c>
      <c r="H53" s="15" t="n"/>
      <c r="I53" s="15" t="n"/>
      <c r="J53" s="16" t="n"/>
    </row>
    <row r="54">
      <c r="A54" s="15" t="n"/>
      <c r="B54" s="16" t="n"/>
      <c r="C54" s="16" t="n"/>
      <c r="D54" s="15" t="n"/>
      <c r="E54" s="15" t="n"/>
      <c r="F54" s="15">
        <f>IFERROR(VLOOKUP(D54, Config!A:B, 2, FALSE), "")</f>
        <v/>
      </c>
      <c r="G54" s="15">
        <f>IF(E54="", "", WORKDAY(E54, F54))</f>
        <v/>
      </c>
      <c r="H54" s="15" t="n"/>
      <c r="I54" s="15" t="n"/>
      <c r="J54" s="16" t="n"/>
    </row>
    <row r="55">
      <c r="A55" s="15" t="n"/>
      <c r="B55" s="16" t="n"/>
      <c r="C55" s="16" t="n"/>
      <c r="D55" s="15" t="n"/>
      <c r="E55" s="15" t="n"/>
      <c r="F55" s="15">
        <f>IFERROR(VLOOKUP(D55, Config!A:B, 2, FALSE), "")</f>
        <v/>
      </c>
      <c r="G55" s="15">
        <f>IF(E55="", "", WORKDAY(E55, F55))</f>
        <v/>
      </c>
      <c r="H55" s="15" t="n"/>
      <c r="I55" s="15" t="n"/>
      <c r="J55" s="16" t="n"/>
    </row>
    <row r="56">
      <c r="A56" s="15" t="n"/>
      <c r="B56" s="16" t="n"/>
      <c r="C56" s="16" t="n"/>
      <c r="D56" s="15" t="n"/>
      <c r="E56" s="15" t="n"/>
      <c r="F56" s="15">
        <f>IFERROR(VLOOKUP(D56, Config!A:B, 2, FALSE), "")</f>
        <v/>
      </c>
      <c r="G56" s="15">
        <f>IF(E56="", "", WORKDAY(E56, F56))</f>
        <v/>
      </c>
      <c r="H56" s="15" t="n"/>
      <c r="I56" s="15" t="n"/>
      <c r="J56" s="16" t="n"/>
    </row>
    <row r="57">
      <c r="A57" s="15" t="n"/>
      <c r="B57" s="16" t="n"/>
      <c r="C57" s="16" t="n"/>
      <c r="D57" s="15" t="n"/>
      <c r="E57" s="15" t="n"/>
      <c r="F57" s="15">
        <f>IFERROR(VLOOKUP(D57, Config!A:B, 2, FALSE), "")</f>
        <v/>
      </c>
      <c r="G57" s="15">
        <f>IF(E57="", "", WORKDAY(E57, F57))</f>
        <v/>
      </c>
      <c r="H57" s="15" t="n"/>
      <c r="I57" s="15" t="n"/>
      <c r="J57" s="16" t="n"/>
    </row>
    <row r="58">
      <c r="A58" s="15" t="n"/>
      <c r="B58" s="16" t="n"/>
      <c r="C58" s="16" t="n"/>
      <c r="D58" s="15" t="n"/>
      <c r="E58" s="15" t="n"/>
      <c r="F58" s="15">
        <f>IFERROR(VLOOKUP(D58, Config!A:B, 2, FALSE), "")</f>
        <v/>
      </c>
      <c r="G58" s="15">
        <f>IF(E58="", "", WORKDAY(E58, F58))</f>
        <v/>
      </c>
      <c r="H58" s="15" t="n"/>
      <c r="I58" s="15" t="n"/>
      <c r="J58" s="16" t="n"/>
    </row>
    <row r="59">
      <c r="A59" s="15" t="n"/>
      <c r="B59" s="16" t="n"/>
      <c r="C59" s="16" t="n"/>
      <c r="D59" s="15" t="n"/>
      <c r="E59" s="15" t="n"/>
      <c r="F59" s="15">
        <f>IFERROR(VLOOKUP(D59, Config!A:B, 2, FALSE), "")</f>
        <v/>
      </c>
      <c r="G59" s="15">
        <f>IF(E59="", "", WORKDAY(E59, F59))</f>
        <v/>
      </c>
      <c r="H59" s="15" t="n"/>
      <c r="I59" s="15" t="n"/>
      <c r="J59" s="16" t="n"/>
    </row>
    <row r="60">
      <c r="A60" s="15" t="n"/>
      <c r="B60" s="16" t="n"/>
      <c r="C60" s="16" t="n"/>
      <c r="D60" s="15" t="n"/>
      <c r="E60" s="15" t="n"/>
      <c r="F60" s="15">
        <f>IFERROR(VLOOKUP(D60, Config!A:B, 2, FALSE), "")</f>
        <v/>
      </c>
      <c r="G60" s="15">
        <f>IF(E60="", "", WORKDAY(E60, F60))</f>
        <v/>
      </c>
      <c r="H60" s="15" t="n"/>
      <c r="I60" s="15" t="n"/>
      <c r="J60" s="16" t="n"/>
    </row>
    <row r="61">
      <c r="A61" s="15" t="n"/>
      <c r="B61" s="16" t="n"/>
      <c r="C61" s="16" t="n"/>
      <c r="D61" s="15" t="n"/>
      <c r="E61" s="15" t="n"/>
      <c r="F61" s="15">
        <f>IFERROR(VLOOKUP(D61, Config!A:B, 2, FALSE), "")</f>
        <v/>
      </c>
      <c r="G61" s="15">
        <f>IF(E61="", "", WORKDAY(E61, F61))</f>
        <v/>
      </c>
      <c r="H61" s="15" t="n"/>
      <c r="I61" s="15" t="n"/>
      <c r="J61" s="16" t="n"/>
    </row>
    <row r="62">
      <c r="A62" s="15" t="n"/>
      <c r="B62" s="16" t="n"/>
      <c r="C62" s="16" t="n"/>
      <c r="D62" s="15" t="n"/>
      <c r="E62" s="15" t="n"/>
      <c r="F62" s="15">
        <f>IFERROR(VLOOKUP(D62, Config!A:B, 2, FALSE), "")</f>
        <v/>
      </c>
      <c r="G62" s="15">
        <f>IF(E62="", "", WORKDAY(E62, F62))</f>
        <v/>
      </c>
      <c r="H62" s="15" t="n"/>
      <c r="I62" s="15" t="n"/>
      <c r="J62" s="16" t="n"/>
    </row>
    <row r="63">
      <c r="A63" s="15" t="n"/>
      <c r="B63" s="16" t="n"/>
      <c r="C63" s="16" t="n"/>
      <c r="D63" s="15" t="n"/>
      <c r="E63" s="15" t="n"/>
      <c r="F63" s="15">
        <f>IFERROR(VLOOKUP(D63, Config!A:B, 2, FALSE), "")</f>
        <v/>
      </c>
      <c r="G63" s="15">
        <f>IF(E63="", "", WORKDAY(E63, F63))</f>
        <v/>
      </c>
      <c r="H63" s="15" t="n"/>
      <c r="I63" s="15" t="n"/>
      <c r="J63" s="16" t="n"/>
    </row>
    <row r="64">
      <c r="A64" s="15" t="n"/>
      <c r="B64" s="16" t="n"/>
      <c r="C64" s="16" t="n"/>
      <c r="D64" s="15" t="n"/>
      <c r="E64" s="15" t="n"/>
      <c r="F64" s="15">
        <f>IFERROR(VLOOKUP(D64, Config!A:B, 2, FALSE), "")</f>
        <v/>
      </c>
      <c r="G64" s="15">
        <f>IF(E64="", "", WORKDAY(E64, F64))</f>
        <v/>
      </c>
      <c r="H64" s="15" t="n"/>
      <c r="I64" s="15" t="n"/>
      <c r="J64" s="16" t="n"/>
    </row>
    <row r="65">
      <c r="A65" s="15" t="n"/>
      <c r="B65" s="16" t="n"/>
      <c r="C65" s="16" t="n"/>
      <c r="D65" s="15" t="n"/>
      <c r="E65" s="15" t="n"/>
      <c r="F65" s="15">
        <f>IFERROR(VLOOKUP(D65, Config!A:B, 2, FALSE), "")</f>
        <v/>
      </c>
      <c r="G65" s="15">
        <f>IF(E65="", "", WORKDAY(E65, F65))</f>
        <v/>
      </c>
      <c r="H65" s="15" t="n"/>
      <c r="I65" s="15" t="n"/>
      <c r="J65" s="16" t="n"/>
    </row>
    <row r="66">
      <c r="A66" s="15" t="n"/>
      <c r="B66" s="16" t="n"/>
      <c r="C66" s="16" t="n"/>
      <c r="D66" s="15" t="n"/>
      <c r="E66" s="15" t="n"/>
      <c r="F66" s="15">
        <f>IFERROR(VLOOKUP(D66, Config!A:B, 2, FALSE), "")</f>
        <v/>
      </c>
      <c r="G66" s="15">
        <f>IF(E66="", "", WORKDAY(E66, F66))</f>
        <v/>
      </c>
      <c r="H66" s="15" t="n"/>
      <c r="I66" s="15" t="n"/>
      <c r="J66" s="16" t="n"/>
    </row>
    <row r="67">
      <c r="A67" s="15" t="n"/>
      <c r="B67" s="16" t="n"/>
      <c r="C67" s="16" t="n"/>
      <c r="D67" s="15" t="n"/>
      <c r="E67" s="15" t="n"/>
      <c r="F67" s="15">
        <f>IFERROR(VLOOKUP(D67, Config!A:B, 2, FALSE), "")</f>
        <v/>
      </c>
      <c r="G67" s="15">
        <f>IF(E67="", "", WORKDAY(E67, F67))</f>
        <v/>
      </c>
      <c r="H67" s="15" t="n"/>
      <c r="I67" s="15" t="n"/>
      <c r="J67" s="16" t="n"/>
    </row>
    <row r="68">
      <c r="A68" s="15" t="n"/>
      <c r="B68" s="16" t="n"/>
      <c r="C68" s="16" t="n"/>
      <c r="D68" s="15" t="n"/>
      <c r="E68" s="15" t="n"/>
      <c r="F68" s="15">
        <f>IFERROR(VLOOKUP(D68, Config!A:B, 2, FALSE), "")</f>
        <v/>
      </c>
      <c r="G68" s="15">
        <f>IF(E68="", "", WORKDAY(E68, F68))</f>
        <v/>
      </c>
      <c r="H68" s="15" t="n"/>
      <c r="I68" s="15" t="n"/>
      <c r="J68" s="16" t="n"/>
    </row>
    <row r="69">
      <c r="A69" s="15" t="n"/>
      <c r="B69" s="16" t="n"/>
      <c r="C69" s="16" t="n"/>
      <c r="D69" s="15" t="n"/>
      <c r="E69" s="15" t="n"/>
      <c r="F69" s="15">
        <f>IFERROR(VLOOKUP(D69, Config!A:B, 2, FALSE), "")</f>
        <v/>
      </c>
      <c r="G69" s="15">
        <f>IF(E69="", "", WORKDAY(E69, F69))</f>
        <v/>
      </c>
      <c r="H69" s="15" t="n"/>
      <c r="I69" s="15" t="n"/>
      <c r="J69" s="16" t="n"/>
    </row>
    <row r="70">
      <c r="A70" s="15" t="n"/>
      <c r="B70" s="16" t="n"/>
      <c r="C70" s="16" t="n"/>
      <c r="D70" s="15" t="n"/>
      <c r="E70" s="15" t="n"/>
      <c r="F70" s="15">
        <f>IFERROR(VLOOKUP(D70, Config!A:B, 2, FALSE), "")</f>
        <v/>
      </c>
      <c r="G70" s="15">
        <f>IF(E70="", "", WORKDAY(E70, F70))</f>
        <v/>
      </c>
      <c r="H70" s="15" t="n"/>
      <c r="I70" s="15" t="n"/>
      <c r="J70" s="16" t="n"/>
    </row>
    <row r="71">
      <c r="A71" s="15" t="n"/>
      <c r="B71" s="16" t="n"/>
      <c r="C71" s="16" t="n"/>
      <c r="D71" s="15" t="n"/>
      <c r="E71" s="15" t="n"/>
      <c r="F71" s="15">
        <f>IFERROR(VLOOKUP(D71, Config!A:B, 2, FALSE), "")</f>
        <v/>
      </c>
      <c r="G71" s="15">
        <f>IF(E71="", "", WORKDAY(E71, F71))</f>
        <v/>
      </c>
      <c r="H71" s="15" t="n"/>
      <c r="I71" s="15" t="n"/>
      <c r="J71" s="16" t="n"/>
    </row>
    <row r="72">
      <c r="A72" s="15" t="n"/>
      <c r="B72" s="16" t="n"/>
      <c r="C72" s="16" t="n"/>
      <c r="D72" s="15" t="n"/>
      <c r="E72" s="15" t="n"/>
      <c r="F72" s="15">
        <f>IFERROR(VLOOKUP(D72, Config!A:B, 2, FALSE), "")</f>
        <v/>
      </c>
      <c r="G72" s="15">
        <f>IF(E72="", "", WORKDAY(E72, F72))</f>
        <v/>
      </c>
      <c r="H72" s="15" t="n"/>
      <c r="I72" s="15" t="n"/>
      <c r="J72" s="16" t="n"/>
    </row>
    <row r="73">
      <c r="A73" s="15" t="n"/>
      <c r="B73" s="16" t="n"/>
      <c r="C73" s="16" t="n"/>
      <c r="D73" s="15" t="n"/>
      <c r="E73" s="15" t="n"/>
      <c r="F73" s="15">
        <f>IFERROR(VLOOKUP(D73, Config!A:B, 2, FALSE), "")</f>
        <v/>
      </c>
      <c r="G73" s="15">
        <f>IF(E73="", "", WORKDAY(E73, F73))</f>
        <v/>
      </c>
      <c r="H73" s="15" t="n"/>
      <c r="I73" s="15" t="n"/>
      <c r="J73" s="16" t="n"/>
    </row>
    <row r="74">
      <c r="A74" s="15" t="n"/>
      <c r="B74" s="16" t="n"/>
      <c r="C74" s="16" t="n"/>
      <c r="D74" s="15" t="n"/>
      <c r="E74" s="15" t="n"/>
      <c r="F74" s="15">
        <f>IFERROR(VLOOKUP(D74, Config!A:B, 2, FALSE), "")</f>
        <v/>
      </c>
      <c r="G74" s="15">
        <f>IF(E74="", "", WORKDAY(E74, F74))</f>
        <v/>
      </c>
      <c r="H74" s="15" t="n"/>
      <c r="I74" s="15" t="n"/>
      <c r="J74" s="16" t="n"/>
    </row>
    <row r="75">
      <c r="A75" s="15" t="n"/>
      <c r="B75" s="16" t="n"/>
      <c r="C75" s="16" t="n"/>
      <c r="D75" s="15" t="n"/>
      <c r="E75" s="15" t="n"/>
      <c r="F75" s="15">
        <f>IFERROR(VLOOKUP(D75, Config!A:B, 2, FALSE), "")</f>
        <v/>
      </c>
      <c r="G75" s="15">
        <f>IF(E75="", "", WORKDAY(E75, F75))</f>
        <v/>
      </c>
      <c r="H75" s="15" t="n"/>
      <c r="I75" s="15" t="n"/>
      <c r="J75" s="16" t="n"/>
    </row>
    <row r="76">
      <c r="A76" s="15" t="n"/>
      <c r="B76" s="16" t="n"/>
      <c r="C76" s="16" t="n"/>
      <c r="D76" s="15" t="n"/>
      <c r="E76" s="15" t="n"/>
      <c r="F76" s="15">
        <f>IFERROR(VLOOKUP(D76, Config!A:B, 2, FALSE), "")</f>
        <v/>
      </c>
      <c r="G76" s="15">
        <f>IF(E76="", "", WORKDAY(E76, F76))</f>
        <v/>
      </c>
      <c r="H76" s="15" t="n"/>
      <c r="I76" s="15" t="n"/>
      <c r="J76" s="16" t="n"/>
    </row>
    <row r="77">
      <c r="A77" s="15" t="n"/>
      <c r="B77" s="16" t="n"/>
      <c r="C77" s="16" t="n"/>
      <c r="D77" s="15" t="n"/>
      <c r="E77" s="15" t="n"/>
      <c r="F77" s="15">
        <f>IFERROR(VLOOKUP(D77, Config!A:B, 2, FALSE), "")</f>
        <v/>
      </c>
      <c r="G77" s="15">
        <f>IF(E77="", "", WORKDAY(E77, F77))</f>
        <v/>
      </c>
      <c r="H77" s="15" t="n"/>
      <c r="I77" s="15" t="n"/>
      <c r="J77" s="16" t="n"/>
    </row>
    <row r="78">
      <c r="A78" s="15" t="n"/>
      <c r="B78" s="16" t="n"/>
      <c r="C78" s="16" t="n"/>
      <c r="D78" s="15" t="n"/>
      <c r="E78" s="15" t="n"/>
      <c r="F78" s="15">
        <f>IFERROR(VLOOKUP(D78, Config!A:B, 2, FALSE), "")</f>
        <v/>
      </c>
      <c r="G78" s="15">
        <f>IF(E78="", "", WORKDAY(E78, F78))</f>
        <v/>
      </c>
      <c r="H78" s="15" t="n"/>
      <c r="I78" s="15" t="n"/>
      <c r="J78" s="16" t="n"/>
    </row>
    <row r="79">
      <c r="A79" s="15" t="n"/>
      <c r="B79" s="16" t="n"/>
      <c r="C79" s="16" t="n"/>
      <c r="D79" s="15" t="n"/>
      <c r="E79" s="15" t="n"/>
      <c r="F79" s="15">
        <f>IFERROR(VLOOKUP(D79, Config!A:B, 2, FALSE), "")</f>
        <v/>
      </c>
      <c r="G79" s="15">
        <f>IF(E79="", "", WORKDAY(E79, F79))</f>
        <v/>
      </c>
      <c r="H79" s="15" t="n"/>
      <c r="I79" s="15" t="n"/>
      <c r="J79" s="16" t="n"/>
    </row>
    <row r="80">
      <c r="A80" s="15" t="n"/>
      <c r="B80" s="16" t="n"/>
      <c r="C80" s="16" t="n"/>
      <c r="D80" s="15" t="n"/>
      <c r="E80" s="15" t="n"/>
      <c r="F80" s="15">
        <f>IFERROR(VLOOKUP(D80, Config!A:B, 2, FALSE), "")</f>
        <v/>
      </c>
      <c r="G80" s="15">
        <f>IF(E80="", "", WORKDAY(E80, F80))</f>
        <v/>
      </c>
      <c r="H80" s="15" t="n"/>
      <c r="I80" s="15" t="n"/>
      <c r="J80" s="16" t="n"/>
    </row>
    <row r="81">
      <c r="A81" s="15" t="n"/>
      <c r="B81" s="16" t="n"/>
      <c r="C81" s="16" t="n"/>
      <c r="D81" s="15" t="n"/>
      <c r="E81" s="15" t="n"/>
      <c r="F81" s="15">
        <f>IFERROR(VLOOKUP(D81, Config!A:B, 2, FALSE), "")</f>
        <v/>
      </c>
      <c r="G81" s="15">
        <f>IF(E81="", "", WORKDAY(E81, F81))</f>
        <v/>
      </c>
      <c r="H81" s="15" t="n"/>
      <c r="I81" s="15" t="n"/>
      <c r="J81" s="16" t="n"/>
    </row>
    <row r="82">
      <c r="A82" s="15" t="n"/>
      <c r="B82" s="16" t="n"/>
      <c r="C82" s="16" t="n"/>
      <c r="D82" s="15" t="n"/>
      <c r="E82" s="15" t="n"/>
      <c r="F82" s="15">
        <f>IFERROR(VLOOKUP(D82, Config!A:B, 2, FALSE), "")</f>
        <v/>
      </c>
      <c r="G82" s="15">
        <f>IF(E82="", "", WORKDAY(E82, F82))</f>
        <v/>
      </c>
      <c r="H82" s="15" t="n"/>
      <c r="I82" s="15" t="n"/>
      <c r="J82" s="16" t="n"/>
    </row>
    <row r="83">
      <c r="A83" s="15" t="n"/>
      <c r="B83" s="16" t="n"/>
      <c r="C83" s="16" t="n"/>
      <c r="D83" s="15" t="n"/>
      <c r="E83" s="15" t="n"/>
      <c r="F83" s="15">
        <f>IFERROR(VLOOKUP(D83, Config!A:B, 2, FALSE), "")</f>
        <v/>
      </c>
      <c r="G83" s="15">
        <f>IF(E83="", "", WORKDAY(E83, F83))</f>
        <v/>
      </c>
      <c r="H83" s="15" t="n"/>
      <c r="I83" s="15" t="n"/>
      <c r="J83" s="16" t="n"/>
    </row>
    <row r="84">
      <c r="A84" s="15" t="n"/>
      <c r="B84" s="16" t="n"/>
      <c r="C84" s="16" t="n"/>
      <c r="D84" s="15" t="n"/>
      <c r="E84" s="15" t="n"/>
      <c r="F84" s="15">
        <f>IFERROR(VLOOKUP(D84, Config!A:B, 2, FALSE), "")</f>
        <v/>
      </c>
      <c r="G84" s="15">
        <f>IF(E84="", "", WORKDAY(E84, F84))</f>
        <v/>
      </c>
      <c r="H84" s="15" t="n"/>
      <c r="I84" s="15" t="n"/>
      <c r="J84" s="16" t="n"/>
    </row>
    <row r="85">
      <c r="A85" s="15" t="n"/>
      <c r="B85" s="16" t="n"/>
      <c r="C85" s="16" t="n"/>
      <c r="D85" s="15" t="n"/>
      <c r="E85" s="15" t="n"/>
      <c r="F85" s="15">
        <f>IFERROR(VLOOKUP(D85, Config!A:B, 2, FALSE), "")</f>
        <v/>
      </c>
      <c r="G85" s="15">
        <f>IF(E85="", "", WORKDAY(E85, F85))</f>
        <v/>
      </c>
      <c r="H85" s="15" t="n"/>
      <c r="I85" s="15" t="n"/>
      <c r="J85" s="16" t="n"/>
    </row>
    <row r="86">
      <c r="A86" s="15" t="n"/>
      <c r="B86" s="16" t="n"/>
      <c r="C86" s="16" t="n"/>
      <c r="D86" s="15" t="n"/>
      <c r="E86" s="15" t="n"/>
      <c r="F86" s="15">
        <f>IFERROR(VLOOKUP(D86, Config!A:B, 2, FALSE), "")</f>
        <v/>
      </c>
      <c r="G86" s="15">
        <f>IF(E86="", "", WORKDAY(E86, F86))</f>
        <v/>
      </c>
      <c r="H86" s="15" t="n"/>
      <c r="I86" s="15" t="n"/>
      <c r="J86" s="16" t="n"/>
    </row>
    <row r="87">
      <c r="A87" s="15" t="n"/>
      <c r="B87" s="16" t="n"/>
      <c r="C87" s="16" t="n"/>
      <c r="D87" s="15" t="n"/>
      <c r="E87" s="15" t="n"/>
      <c r="F87" s="15">
        <f>IFERROR(VLOOKUP(D87, Config!A:B, 2, FALSE), "")</f>
        <v/>
      </c>
      <c r="G87" s="15">
        <f>IF(E87="", "", WORKDAY(E87, F87))</f>
        <v/>
      </c>
      <c r="H87" s="15" t="n"/>
      <c r="I87" s="15" t="n"/>
      <c r="J87" s="16" t="n"/>
    </row>
    <row r="88">
      <c r="A88" s="15" t="n"/>
      <c r="B88" s="16" t="n"/>
      <c r="C88" s="16" t="n"/>
      <c r="D88" s="15" t="n"/>
      <c r="E88" s="15" t="n"/>
      <c r="F88" s="15">
        <f>IFERROR(VLOOKUP(D88, Config!A:B, 2, FALSE), "")</f>
        <v/>
      </c>
      <c r="G88" s="15">
        <f>IF(E88="", "", WORKDAY(E88, F88))</f>
        <v/>
      </c>
      <c r="H88" s="15" t="n"/>
      <c r="I88" s="15" t="n"/>
      <c r="J88" s="16" t="n"/>
    </row>
    <row r="89">
      <c r="A89" s="15" t="n"/>
      <c r="B89" s="16" t="n"/>
      <c r="C89" s="16" t="n"/>
      <c r="D89" s="15" t="n"/>
      <c r="E89" s="15" t="n"/>
      <c r="F89" s="15">
        <f>IFERROR(VLOOKUP(D89, Config!A:B, 2, FALSE), "")</f>
        <v/>
      </c>
      <c r="G89" s="15">
        <f>IF(E89="", "", WORKDAY(E89, F89))</f>
        <v/>
      </c>
      <c r="H89" s="15" t="n"/>
      <c r="I89" s="15" t="n"/>
      <c r="J89" s="16" t="n"/>
    </row>
    <row r="90">
      <c r="A90" s="15" t="n"/>
      <c r="B90" s="16" t="n"/>
      <c r="C90" s="16" t="n"/>
      <c r="D90" s="15" t="n"/>
      <c r="E90" s="15" t="n"/>
      <c r="F90" s="15">
        <f>IFERROR(VLOOKUP(D90, Config!A:B, 2, FALSE), "")</f>
        <v/>
      </c>
      <c r="G90" s="15">
        <f>IF(E90="", "", WORKDAY(E90, F90))</f>
        <v/>
      </c>
      <c r="H90" s="15" t="n"/>
      <c r="I90" s="15" t="n"/>
      <c r="J90" s="16" t="n"/>
    </row>
    <row r="91">
      <c r="A91" s="15" t="n"/>
      <c r="B91" s="16" t="n"/>
      <c r="C91" s="16" t="n"/>
      <c r="D91" s="15" t="n"/>
      <c r="E91" s="15" t="n"/>
      <c r="F91" s="15">
        <f>IFERROR(VLOOKUP(D91, Config!A:B, 2, FALSE), "")</f>
        <v/>
      </c>
      <c r="G91" s="15">
        <f>IF(E91="", "", WORKDAY(E91, F91))</f>
        <v/>
      </c>
      <c r="H91" s="15" t="n"/>
      <c r="I91" s="15" t="n"/>
      <c r="J91" s="16" t="n"/>
    </row>
    <row r="92">
      <c r="A92" s="15" t="n"/>
      <c r="B92" s="16" t="n"/>
      <c r="C92" s="16" t="n"/>
      <c r="D92" s="15" t="n"/>
      <c r="E92" s="15" t="n"/>
      <c r="F92" s="15">
        <f>IFERROR(VLOOKUP(D92, Config!A:B, 2, FALSE), "")</f>
        <v/>
      </c>
      <c r="G92" s="15">
        <f>IF(E92="", "", WORKDAY(E92, F92))</f>
        <v/>
      </c>
      <c r="H92" s="15" t="n"/>
      <c r="I92" s="15" t="n"/>
      <c r="J92" s="16" t="n"/>
    </row>
    <row r="93">
      <c r="A93" s="15" t="n"/>
      <c r="B93" s="16" t="n"/>
      <c r="C93" s="16" t="n"/>
      <c r="D93" s="15" t="n"/>
      <c r="E93" s="15" t="n"/>
      <c r="F93" s="15">
        <f>IFERROR(VLOOKUP(D93, Config!A:B, 2, FALSE), "")</f>
        <v/>
      </c>
      <c r="G93" s="15">
        <f>IF(E93="", "", WORKDAY(E93, F93))</f>
        <v/>
      </c>
      <c r="H93" s="15" t="n"/>
      <c r="I93" s="15" t="n"/>
      <c r="J93" s="16" t="n"/>
    </row>
    <row r="94">
      <c r="A94" s="15" t="n"/>
      <c r="B94" s="16" t="n"/>
      <c r="C94" s="16" t="n"/>
      <c r="D94" s="15" t="n"/>
      <c r="E94" s="15" t="n"/>
      <c r="F94" s="15">
        <f>IFERROR(VLOOKUP(D94, Config!A:B, 2, FALSE), "")</f>
        <v/>
      </c>
      <c r="G94" s="15">
        <f>IF(E94="", "", WORKDAY(E94, F94))</f>
        <v/>
      </c>
      <c r="H94" s="15" t="n"/>
      <c r="I94" s="15" t="n"/>
      <c r="J94" s="16" t="n"/>
    </row>
    <row r="95">
      <c r="A95" s="15" t="n"/>
      <c r="B95" s="16" t="n"/>
      <c r="C95" s="16" t="n"/>
      <c r="D95" s="15" t="n"/>
      <c r="E95" s="15" t="n"/>
      <c r="F95" s="15">
        <f>IFERROR(VLOOKUP(D95, Config!A:B, 2, FALSE), "")</f>
        <v/>
      </c>
      <c r="G95" s="15">
        <f>IF(E95="", "", WORKDAY(E95, F95))</f>
        <v/>
      </c>
      <c r="H95" s="15" t="n"/>
      <c r="I95" s="15" t="n"/>
      <c r="J95" s="16" t="n"/>
    </row>
    <row r="96">
      <c r="A96" s="15" t="n"/>
      <c r="B96" s="16" t="n"/>
      <c r="C96" s="16" t="n"/>
      <c r="D96" s="15" t="n"/>
      <c r="E96" s="15" t="n"/>
      <c r="F96" s="15">
        <f>IFERROR(VLOOKUP(D96, Config!A:B, 2, FALSE), "")</f>
        <v/>
      </c>
      <c r="G96" s="15">
        <f>IF(E96="", "", WORKDAY(E96, F96))</f>
        <v/>
      </c>
      <c r="H96" s="15" t="n"/>
      <c r="I96" s="15" t="n"/>
      <c r="J96" s="16" t="n"/>
    </row>
    <row r="97">
      <c r="A97" s="15" t="n"/>
      <c r="B97" s="16" t="n"/>
      <c r="C97" s="16" t="n"/>
      <c r="D97" s="15" t="n"/>
      <c r="E97" s="15" t="n"/>
      <c r="F97" s="15">
        <f>IFERROR(VLOOKUP(D97, Config!A:B, 2, FALSE), "")</f>
        <v/>
      </c>
      <c r="G97" s="15">
        <f>IF(E97="", "", WORKDAY(E97, F97))</f>
        <v/>
      </c>
      <c r="H97" s="15" t="n"/>
      <c r="I97" s="15" t="n"/>
      <c r="J97" s="16" t="n"/>
    </row>
    <row r="98">
      <c r="A98" s="15" t="n"/>
      <c r="B98" s="16" t="n"/>
      <c r="C98" s="16" t="n"/>
      <c r="D98" s="15" t="n"/>
      <c r="E98" s="15" t="n"/>
      <c r="F98" s="15">
        <f>IFERROR(VLOOKUP(D98, Config!A:B, 2, FALSE), "")</f>
        <v/>
      </c>
      <c r="G98" s="15">
        <f>IF(E98="", "", WORKDAY(E98, F98))</f>
        <v/>
      </c>
      <c r="H98" s="15" t="n"/>
      <c r="I98" s="15" t="n"/>
      <c r="J98" s="16" t="n"/>
    </row>
    <row r="99">
      <c r="A99" s="15" t="n"/>
      <c r="B99" s="16" t="n"/>
      <c r="C99" s="16" t="n"/>
      <c r="D99" s="15" t="n"/>
      <c r="E99" s="15" t="n"/>
      <c r="F99" s="15">
        <f>IFERROR(VLOOKUP(D99, Config!A:B, 2, FALSE), "")</f>
        <v/>
      </c>
      <c r="G99" s="15">
        <f>IF(E99="", "", WORKDAY(E99, F99))</f>
        <v/>
      </c>
      <c r="H99" s="15" t="n"/>
      <c r="I99" s="15" t="n"/>
      <c r="J99" s="16" t="n"/>
    </row>
    <row r="100">
      <c r="A100" s="15" t="n"/>
      <c r="B100" s="16" t="n"/>
      <c r="C100" s="16" t="n"/>
      <c r="D100" s="15" t="n"/>
      <c r="E100" s="15" t="n"/>
      <c r="F100" s="15">
        <f>IFERROR(VLOOKUP(D100, Config!A:B, 2, FALSE), "")</f>
        <v/>
      </c>
      <c r="G100" s="15">
        <f>IF(E100="", "", WORKDAY(E100, F100))</f>
        <v/>
      </c>
      <c r="H100" s="15" t="n"/>
      <c r="I100" s="15" t="n"/>
      <c r="J100" s="16" t="n"/>
    </row>
  </sheetData>
  <conditionalFormatting sqref="D2:D1000">
    <cfRule type="cellIs" priority="1" operator="equal" dxfId="3">
      <formula>"Baixa"</formula>
    </cfRule>
    <cfRule type="cellIs" priority="2" operator="equal" dxfId="4">
      <formula>"Média"</formula>
    </cfRule>
    <cfRule type="cellIs" priority="3" operator="equal" dxfId="5">
      <formula>"Alta"</formula>
    </cfRule>
  </conditionalFormatting>
  <conditionalFormatting sqref="H2:H1000">
    <cfRule type="cellIs" priority="4" operator="equal" dxfId="3">
      <formula>"Finalizada"</formula>
    </cfRule>
  </conditionalFormatting>
  <dataValidations count="2">
    <dataValidation sqref="D2:D1000" showDropDown="1" showInputMessage="0" showErrorMessage="0" allowBlank="0" type="list">
      <formula1>"Baixa,Média,Alta"</formula1>
    </dataValidation>
    <dataValidation sqref="H2:H1000" showDropDown="1" showInputMessage="0" showErrorMessage="0" allowBlank="0" type="list">
      <formula1>"Pendente,Em Andamento,Finalizada"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25" customWidth="1" min="10" max="10"/>
  </cols>
  <sheetData>
    <row r="1">
      <c r="A1" s="14" t="inlineStr">
        <is>
          <t>ID</t>
        </is>
      </c>
      <c r="B1" s="14" t="inlineStr">
        <is>
          <t>Cliente</t>
        </is>
      </c>
      <c r="C1" s="14" t="inlineStr">
        <is>
          <t>Tipo de Ação</t>
        </is>
      </c>
      <c r="D1" s="14" t="inlineStr">
        <is>
          <t>Complexidade</t>
        </is>
      </c>
      <c r="E1" s="14" t="inlineStr">
        <is>
          <t>Data Envio Doc</t>
        </is>
      </c>
      <c r="F1" s="14" t="inlineStr">
        <is>
          <t>Prazo (Dias)</t>
        </is>
      </c>
      <c r="G1" s="14" t="inlineStr">
        <is>
          <t>Prazo Fatal</t>
        </is>
      </c>
      <c r="H1" s="14" t="inlineStr">
        <is>
          <t>Status</t>
        </is>
      </c>
      <c r="I1" s="14" t="inlineStr">
        <is>
          <t>Data Protocolo</t>
        </is>
      </c>
      <c r="J1" s="14" t="inlineStr">
        <is>
          <t>Advogado Responsável</t>
        </is>
      </c>
    </row>
    <row r="2">
      <c r="A2" s="15" t="n"/>
      <c r="B2" s="16" t="n"/>
      <c r="C2" s="16" t="n"/>
      <c r="D2" s="15" t="n"/>
      <c r="E2" s="15" t="n"/>
      <c r="F2" s="15">
        <f>IFERROR(VLOOKUP(D2, Config!A:B, 2, FALSE), "")</f>
        <v/>
      </c>
      <c r="G2" s="15">
        <f>IF(E2="", "", WORKDAY(E2, F2))</f>
        <v/>
      </c>
      <c r="H2" s="15" t="n"/>
      <c r="I2" s="15" t="n"/>
      <c r="J2" s="16" t="n"/>
    </row>
    <row r="3">
      <c r="A3" s="15" t="n"/>
      <c r="B3" s="16" t="n"/>
      <c r="C3" s="16" t="n"/>
      <c r="D3" s="15" t="n"/>
      <c r="E3" s="15" t="n"/>
      <c r="F3" s="15">
        <f>IFERROR(VLOOKUP(D3, Config!A:B, 2, FALSE), "")</f>
        <v/>
      </c>
      <c r="G3" s="15">
        <f>IF(E3="", "", WORKDAY(E3, F3))</f>
        <v/>
      </c>
      <c r="H3" s="15" t="n"/>
      <c r="I3" s="15" t="n"/>
      <c r="J3" s="16" t="n"/>
    </row>
    <row r="4">
      <c r="A4" s="15" t="n"/>
      <c r="B4" s="16" t="n"/>
      <c r="C4" s="16" t="n"/>
      <c r="D4" s="15" t="n"/>
      <c r="E4" s="15" t="n"/>
      <c r="F4" s="15">
        <f>IFERROR(VLOOKUP(D4, Config!A:B, 2, FALSE), "")</f>
        <v/>
      </c>
      <c r="G4" s="15">
        <f>IF(E4="", "", WORKDAY(E4, F4))</f>
        <v/>
      </c>
      <c r="H4" s="15" t="n"/>
      <c r="I4" s="15" t="n"/>
      <c r="J4" s="16" t="n"/>
    </row>
    <row r="5">
      <c r="A5" s="15" t="n"/>
      <c r="B5" s="16" t="n"/>
      <c r="C5" s="16" t="n"/>
      <c r="D5" s="15" t="n"/>
      <c r="E5" s="15" t="n"/>
      <c r="F5" s="15">
        <f>IFERROR(VLOOKUP(D5, Config!A:B, 2, FALSE), "")</f>
        <v/>
      </c>
      <c r="G5" s="15">
        <f>IF(E5="", "", WORKDAY(E5, F5))</f>
        <v/>
      </c>
      <c r="H5" s="15" t="n"/>
      <c r="I5" s="15" t="n"/>
      <c r="J5" s="16" t="n"/>
    </row>
    <row r="6">
      <c r="A6" s="15" t="n"/>
      <c r="B6" s="16" t="n"/>
      <c r="C6" s="16" t="n"/>
      <c r="D6" s="15" t="n"/>
      <c r="E6" s="15" t="n"/>
      <c r="F6" s="15">
        <f>IFERROR(VLOOKUP(D6, Config!A:B, 2, FALSE), "")</f>
        <v/>
      </c>
      <c r="G6" s="15">
        <f>IF(E6="", "", WORKDAY(E6, F6))</f>
        <v/>
      </c>
      <c r="H6" s="15" t="n"/>
      <c r="I6" s="15" t="n"/>
      <c r="J6" s="16" t="n"/>
    </row>
    <row r="7">
      <c r="A7" s="15" t="n"/>
      <c r="B7" s="16" t="n"/>
      <c r="C7" s="16" t="n"/>
      <c r="D7" s="15" t="n"/>
      <c r="E7" s="15" t="n"/>
      <c r="F7" s="15">
        <f>IFERROR(VLOOKUP(D7, Config!A:B, 2, FALSE), "")</f>
        <v/>
      </c>
      <c r="G7" s="15">
        <f>IF(E7="", "", WORKDAY(E7, F7))</f>
        <v/>
      </c>
      <c r="H7" s="15" t="n"/>
      <c r="I7" s="15" t="n"/>
      <c r="J7" s="16" t="n"/>
    </row>
    <row r="8">
      <c r="A8" s="15" t="n"/>
      <c r="B8" s="16" t="n"/>
      <c r="C8" s="16" t="n"/>
      <c r="D8" s="15" t="n"/>
      <c r="E8" s="15" t="n"/>
      <c r="F8" s="15">
        <f>IFERROR(VLOOKUP(D8, Config!A:B, 2, FALSE), "")</f>
        <v/>
      </c>
      <c r="G8" s="15">
        <f>IF(E8="", "", WORKDAY(E8, F8))</f>
        <v/>
      </c>
      <c r="H8" s="15" t="n"/>
      <c r="I8" s="15" t="n"/>
      <c r="J8" s="16" t="n"/>
    </row>
    <row r="9">
      <c r="A9" s="15" t="n"/>
      <c r="B9" s="16" t="n"/>
      <c r="C9" s="16" t="n"/>
      <c r="D9" s="15" t="n"/>
      <c r="E9" s="15" t="n"/>
      <c r="F9" s="15">
        <f>IFERROR(VLOOKUP(D9, Config!A:B, 2, FALSE), "")</f>
        <v/>
      </c>
      <c r="G9" s="15">
        <f>IF(E9="", "", WORKDAY(E9, F9))</f>
        <v/>
      </c>
      <c r="H9" s="15" t="n"/>
      <c r="I9" s="15" t="n"/>
      <c r="J9" s="16" t="n"/>
    </row>
    <row r="10">
      <c r="A10" s="15" t="n"/>
      <c r="B10" s="16" t="n"/>
      <c r="C10" s="16" t="n"/>
      <c r="D10" s="15" t="n"/>
      <c r="E10" s="15" t="n"/>
      <c r="F10" s="15">
        <f>IFERROR(VLOOKUP(D10, Config!A:B, 2, FALSE), "")</f>
        <v/>
      </c>
      <c r="G10" s="15">
        <f>IF(E10="", "", WORKDAY(E10, F10))</f>
        <v/>
      </c>
      <c r="H10" s="15" t="n"/>
      <c r="I10" s="15" t="n"/>
      <c r="J10" s="16" t="n"/>
    </row>
    <row r="11">
      <c r="A11" s="15" t="n"/>
      <c r="B11" s="16" t="n"/>
      <c r="C11" s="16" t="n"/>
      <c r="D11" s="15" t="n"/>
      <c r="E11" s="15" t="n"/>
      <c r="F11" s="15">
        <f>IFERROR(VLOOKUP(D11, Config!A:B, 2, FALSE), "")</f>
        <v/>
      </c>
      <c r="G11" s="15">
        <f>IF(E11="", "", WORKDAY(E11, F11))</f>
        <v/>
      </c>
      <c r="H11" s="15" t="n"/>
      <c r="I11" s="15" t="n"/>
      <c r="J11" s="16" t="n"/>
    </row>
    <row r="12">
      <c r="A12" s="15" t="n"/>
      <c r="B12" s="16" t="n"/>
      <c r="C12" s="16" t="n"/>
      <c r="D12" s="15" t="n"/>
      <c r="E12" s="15" t="n"/>
      <c r="F12" s="15">
        <f>IFERROR(VLOOKUP(D12, Config!A:B, 2, FALSE), "")</f>
        <v/>
      </c>
      <c r="G12" s="15">
        <f>IF(E12="", "", WORKDAY(E12, F12))</f>
        <v/>
      </c>
      <c r="H12" s="15" t="n"/>
      <c r="I12" s="15" t="n"/>
      <c r="J12" s="16" t="n"/>
    </row>
    <row r="13">
      <c r="A13" s="15" t="n"/>
      <c r="B13" s="16" t="n"/>
      <c r="C13" s="16" t="n"/>
      <c r="D13" s="15" t="n"/>
      <c r="E13" s="15" t="n"/>
      <c r="F13" s="15">
        <f>IFERROR(VLOOKUP(D13, Config!A:B, 2, FALSE), "")</f>
        <v/>
      </c>
      <c r="G13" s="15">
        <f>IF(E13="", "", WORKDAY(E13, F13))</f>
        <v/>
      </c>
      <c r="H13" s="15" t="n"/>
      <c r="I13" s="15" t="n"/>
      <c r="J13" s="16" t="n"/>
    </row>
    <row r="14">
      <c r="A14" s="15" t="n"/>
      <c r="B14" s="16" t="n"/>
      <c r="C14" s="16" t="n"/>
      <c r="D14" s="15" t="n"/>
      <c r="E14" s="15" t="n"/>
      <c r="F14" s="15">
        <f>IFERROR(VLOOKUP(D14, Config!A:B, 2, FALSE), "")</f>
        <v/>
      </c>
      <c r="G14" s="15">
        <f>IF(E14="", "", WORKDAY(E14, F14))</f>
        <v/>
      </c>
      <c r="H14" s="15" t="n"/>
      <c r="I14" s="15" t="n"/>
      <c r="J14" s="16" t="n"/>
    </row>
    <row r="15">
      <c r="A15" s="15" t="n"/>
      <c r="B15" s="16" t="n"/>
      <c r="C15" s="16" t="n"/>
      <c r="D15" s="15" t="n"/>
      <c r="E15" s="15" t="n"/>
      <c r="F15" s="15">
        <f>IFERROR(VLOOKUP(D15, Config!A:B, 2, FALSE), "")</f>
        <v/>
      </c>
      <c r="G15" s="15">
        <f>IF(E15="", "", WORKDAY(E15, F15))</f>
        <v/>
      </c>
      <c r="H15" s="15" t="n"/>
      <c r="I15" s="15" t="n"/>
      <c r="J15" s="16" t="n"/>
    </row>
    <row r="16">
      <c r="A16" s="15" t="n"/>
      <c r="B16" s="16" t="n"/>
      <c r="C16" s="16" t="n"/>
      <c r="D16" s="15" t="n"/>
      <c r="E16" s="15" t="n"/>
      <c r="F16" s="15">
        <f>IFERROR(VLOOKUP(D16, Config!A:B, 2, FALSE), "")</f>
        <v/>
      </c>
      <c r="G16" s="15">
        <f>IF(E16="", "", WORKDAY(E16, F16))</f>
        <v/>
      </c>
      <c r="H16" s="15" t="n"/>
      <c r="I16" s="15" t="n"/>
      <c r="J16" s="16" t="n"/>
    </row>
    <row r="17">
      <c r="A17" s="15" t="n"/>
      <c r="B17" s="16" t="n"/>
      <c r="C17" s="16" t="n"/>
      <c r="D17" s="15" t="n"/>
      <c r="E17" s="15" t="n"/>
      <c r="F17" s="15">
        <f>IFERROR(VLOOKUP(D17, Config!A:B, 2, FALSE), "")</f>
        <v/>
      </c>
      <c r="G17" s="15">
        <f>IF(E17="", "", WORKDAY(E17, F17))</f>
        <v/>
      </c>
      <c r="H17" s="15" t="n"/>
      <c r="I17" s="15" t="n"/>
      <c r="J17" s="16" t="n"/>
    </row>
    <row r="18">
      <c r="A18" s="15" t="n"/>
      <c r="B18" s="16" t="n"/>
      <c r="C18" s="16" t="n"/>
      <c r="D18" s="15" t="n"/>
      <c r="E18" s="15" t="n"/>
      <c r="F18" s="15">
        <f>IFERROR(VLOOKUP(D18, Config!A:B, 2, FALSE), "")</f>
        <v/>
      </c>
      <c r="G18" s="15">
        <f>IF(E18="", "", WORKDAY(E18, F18))</f>
        <v/>
      </c>
      <c r="H18" s="15" t="n"/>
      <c r="I18" s="15" t="n"/>
      <c r="J18" s="16" t="n"/>
    </row>
    <row r="19">
      <c r="A19" s="15" t="n"/>
      <c r="B19" s="16" t="n"/>
      <c r="C19" s="16" t="n"/>
      <c r="D19" s="15" t="n"/>
      <c r="E19" s="15" t="n"/>
      <c r="F19" s="15">
        <f>IFERROR(VLOOKUP(D19, Config!A:B, 2, FALSE), "")</f>
        <v/>
      </c>
      <c r="G19" s="15">
        <f>IF(E19="", "", WORKDAY(E19, F19))</f>
        <v/>
      </c>
      <c r="H19" s="15" t="n"/>
      <c r="I19" s="15" t="n"/>
      <c r="J19" s="16" t="n"/>
    </row>
    <row r="20">
      <c r="A20" s="15" t="n"/>
      <c r="B20" s="16" t="n"/>
      <c r="C20" s="16" t="n"/>
      <c r="D20" s="15" t="n"/>
      <c r="E20" s="15" t="n"/>
      <c r="F20" s="15">
        <f>IFERROR(VLOOKUP(D20, Config!A:B, 2, FALSE), "")</f>
        <v/>
      </c>
      <c r="G20" s="15">
        <f>IF(E20="", "", WORKDAY(E20, F20))</f>
        <v/>
      </c>
      <c r="H20" s="15" t="n"/>
      <c r="I20" s="15" t="n"/>
      <c r="J20" s="16" t="n"/>
    </row>
    <row r="21">
      <c r="A21" s="15" t="n"/>
      <c r="B21" s="16" t="n"/>
      <c r="C21" s="16" t="n"/>
      <c r="D21" s="15" t="n"/>
      <c r="E21" s="15" t="n"/>
      <c r="F21" s="15">
        <f>IFERROR(VLOOKUP(D21, Config!A:B, 2, FALSE), "")</f>
        <v/>
      </c>
      <c r="G21" s="15">
        <f>IF(E21="", "", WORKDAY(E21, F21))</f>
        <v/>
      </c>
      <c r="H21" s="15" t="n"/>
      <c r="I21" s="15" t="n"/>
      <c r="J21" s="16" t="n"/>
    </row>
    <row r="22">
      <c r="A22" s="15" t="n"/>
      <c r="B22" s="16" t="n"/>
      <c r="C22" s="16" t="n"/>
      <c r="D22" s="15" t="n"/>
      <c r="E22" s="15" t="n"/>
      <c r="F22" s="15">
        <f>IFERROR(VLOOKUP(D22, Config!A:B, 2, FALSE), "")</f>
        <v/>
      </c>
      <c r="G22" s="15">
        <f>IF(E22="", "", WORKDAY(E22, F22))</f>
        <v/>
      </c>
      <c r="H22" s="15" t="n"/>
      <c r="I22" s="15" t="n"/>
      <c r="J22" s="16" t="n"/>
    </row>
    <row r="23">
      <c r="A23" s="15" t="n"/>
      <c r="B23" s="16" t="n"/>
      <c r="C23" s="16" t="n"/>
      <c r="D23" s="15" t="n"/>
      <c r="E23" s="15" t="n"/>
      <c r="F23" s="15">
        <f>IFERROR(VLOOKUP(D23, Config!A:B, 2, FALSE), "")</f>
        <v/>
      </c>
      <c r="G23" s="15">
        <f>IF(E23="", "", WORKDAY(E23, F23))</f>
        <v/>
      </c>
      <c r="H23" s="15" t="n"/>
      <c r="I23" s="15" t="n"/>
      <c r="J23" s="16" t="n"/>
    </row>
    <row r="24">
      <c r="A24" s="15" t="n"/>
      <c r="B24" s="16" t="n"/>
      <c r="C24" s="16" t="n"/>
      <c r="D24" s="15" t="n"/>
      <c r="E24" s="15" t="n"/>
      <c r="F24" s="15">
        <f>IFERROR(VLOOKUP(D24, Config!A:B, 2, FALSE), "")</f>
        <v/>
      </c>
      <c r="G24" s="15">
        <f>IF(E24="", "", WORKDAY(E24, F24))</f>
        <v/>
      </c>
      <c r="H24" s="15" t="n"/>
      <c r="I24" s="15" t="n"/>
      <c r="J24" s="16" t="n"/>
    </row>
    <row r="25">
      <c r="A25" s="15" t="n"/>
      <c r="B25" s="16" t="n"/>
      <c r="C25" s="16" t="n"/>
      <c r="D25" s="15" t="n"/>
      <c r="E25" s="15" t="n"/>
      <c r="F25" s="15">
        <f>IFERROR(VLOOKUP(D25, Config!A:B, 2, FALSE), "")</f>
        <v/>
      </c>
      <c r="G25" s="15">
        <f>IF(E25="", "", WORKDAY(E25, F25))</f>
        <v/>
      </c>
      <c r="H25" s="15" t="n"/>
      <c r="I25" s="15" t="n"/>
      <c r="J25" s="16" t="n"/>
    </row>
    <row r="26">
      <c r="A26" s="15" t="n"/>
      <c r="B26" s="16" t="n"/>
      <c r="C26" s="16" t="n"/>
      <c r="D26" s="15" t="n"/>
      <c r="E26" s="15" t="n"/>
      <c r="F26" s="15">
        <f>IFERROR(VLOOKUP(D26, Config!A:B, 2, FALSE), "")</f>
        <v/>
      </c>
      <c r="G26" s="15">
        <f>IF(E26="", "", WORKDAY(E26, F26))</f>
        <v/>
      </c>
      <c r="H26" s="15" t="n"/>
      <c r="I26" s="15" t="n"/>
      <c r="J26" s="16" t="n"/>
    </row>
    <row r="27">
      <c r="A27" s="15" t="n"/>
      <c r="B27" s="16" t="n"/>
      <c r="C27" s="16" t="n"/>
      <c r="D27" s="15" t="n"/>
      <c r="E27" s="15" t="n"/>
      <c r="F27" s="15">
        <f>IFERROR(VLOOKUP(D27, Config!A:B, 2, FALSE), "")</f>
        <v/>
      </c>
      <c r="G27" s="15">
        <f>IF(E27="", "", WORKDAY(E27, F27))</f>
        <v/>
      </c>
      <c r="H27" s="15" t="n"/>
      <c r="I27" s="15" t="n"/>
      <c r="J27" s="16" t="n"/>
    </row>
    <row r="28">
      <c r="A28" s="15" t="n"/>
      <c r="B28" s="16" t="n"/>
      <c r="C28" s="16" t="n"/>
      <c r="D28" s="15" t="n"/>
      <c r="E28" s="15" t="n"/>
      <c r="F28" s="15">
        <f>IFERROR(VLOOKUP(D28, Config!A:B, 2, FALSE), "")</f>
        <v/>
      </c>
      <c r="G28" s="15">
        <f>IF(E28="", "", WORKDAY(E28, F28))</f>
        <v/>
      </c>
      <c r="H28" s="15" t="n"/>
      <c r="I28" s="15" t="n"/>
      <c r="J28" s="16" t="n"/>
    </row>
    <row r="29">
      <c r="A29" s="15" t="n"/>
      <c r="B29" s="16" t="n"/>
      <c r="C29" s="16" t="n"/>
      <c r="D29" s="15" t="n"/>
      <c r="E29" s="15" t="n"/>
      <c r="F29" s="15">
        <f>IFERROR(VLOOKUP(D29, Config!A:B, 2, FALSE), "")</f>
        <v/>
      </c>
      <c r="G29" s="15">
        <f>IF(E29="", "", WORKDAY(E29, F29))</f>
        <v/>
      </c>
      <c r="H29" s="15" t="n"/>
      <c r="I29" s="15" t="n"/>
      <c r="J29" s="16" t="n"/>
    </row>
    <row r="30">
      <c r="A30" s="15" t="n"/>
      <c r="B30" s="16" t="n"/>
      <c r="C30" s="16" t="n"/>
      <c r="D30" s="15" t="n"/>
      <c r="E30" s="15" t="n"/>
      <c r="F30" s="15">
        <f>IFERROR(VLOOKUP(D30, Config!A:B, 2, FALSE), "")</f>
        <v/>
      </c>
      <c r="G30" s="15">
        <f>IF(E30="", "", WORKDAY(E30, F30))</f>
        <v/>
      </c>
      <c r="H30" s="15" t="n"/>
      <c r="I30" s="15" t="n"/>
      <c r="J30" s="16" t="n"/>
    </row>
    <row r="31">
      <c r="A31" s="15" t="n"/>
      <c r="B31" s="16" t="n"/>
      <c r="C31" s="16" t="n"/>
      <c r="D31" s="15" t="n"/>
      <c r="E31" s="15" t="n"/>
      <c r="F31" s="15">
        <f>IFERROR(VLOOKUP(D31, Config!A:B, 2, FALSE), "")</f>
        <v/>
      </c>
      <c r="G31" s="15">
        <f>IF(E31="", "", WORKDAY(E31, F31))</f>
        <v/>
      </c>
      <c r="H31" s="15" t="n"/>
      <c r="I31" s="15" t="n"/>
      <c r="J31" s="16" t="n"/>
    </row>
    <row r="32">
      <c r="A32" s="15" t="n"/>
      <c r="B32" s="16" t="n"/>
      <c r="C32" s="16" t="n"/>
      <c r="D32" s="15" t="n"/>
      <c r="E32" s="15" t="n"/>
      <c r="F32" s="15">
        <f>IFERROR(VLOOKUP(D32, Config!A:B, 2, FALSE), "")</f>
        <v/>
      </c>
      <c r="G32" s="15">
        <f>IF(E32="", "", WORKDAY(E32, F32))</f>
        <v/>
      </c>
      <c r="H32" s="15" t="n"/>
      <c r="I32" s="15" t="n"/>
      <c r="J32" s="16" t="n"/>
    </row>
    <row r="33">
      <c r="A33" s="15" t="n"/>
      <c r="B33" s="16" t="n"/>
      <c r="C33" s="16" t="n"/>
      <c r="D33" s="15" t="n"/>
      <c r="E33" s="15" t="n"/>
      <c r="F33" s="15">
        <f>IFERROR(VLOOKUP(D33, Config!A:B, 2, FALSE), "")</f>
        <v/>
      </c>
      <c r="G33" s="15">
        <f>IF(E33="", "", WORKDAY(E33, F33))</f>
        <v/>
      </c>
      <c r="H33" s="15" t="n"/>
      <c r="I33" s="15" t="n"/>
      <c r="J33" s="16" t="n"/>
    </row>
    <row r="34">
      <c r="A34" s="15" t="n"/>
      <c r="B34" s="16" t="n"/>
      <c r="C34" s="16" t="n"/>
      <c r="D34" s="15" t="n"/>
      <c r="E34" s="15" t="n"/>
      <c r="F34" s="15">
        <f>IFERROR(VLOOKUP(D34, Config!A:B, 2, FALSE), "")</f>
        <v/>
      </c>
      <c r="G34" s="15">
        <f>IF(E34="", "", WORKDAY(E34, F34))</f>
        <v/>
      </c>
      <c r="H34" s="15" t="n"/>
      <c r="I34" s="15" t="n"/>
      <c r="J34" s="16" t="n"/>
    </row>
    <row r="35">
      <c r="A35" s="15" t="n"/>
      <c r="B35" s="16" t="n"/>
      <c r="C35" s="16" t="n"/>
      <c r="D35" s="15" t="n"/>
      <c r="E35" s="15" t="n"/>
      <c r="F35" s="15">
        <f>IFERROR(VLOOKUP(D35, Config!A:B, 2, FALSE), "")</f>
        <v/>
      </c>
      <c r="G35" s="15">
        <f>IF(E35="", "", WORKDAY(E35, F35))</f>
        <v/>
      </c>
      <c r="H35" s="15" t="n"/>
      <c r="I35" s="15" t="n"/>
      <c r="J35" s="16" t="n"/>
    </row>
    <row r="36">
      <c r="A36" s="15" t="n"/>
      <c r="B36" s="16" t="n"/>
      <c r="C36" s="16" t="n"/>
      <c r="D36" s="15" t="n"/>
      <c r="E36" s="15" t="n"/>
      <c r="F36" s="15">
        <f>IFERROR(VLOOKUP(D36, Config!A:B, 2, FALSE), "")</f>
        <v/>
      </c>
      <c r="G36" s="15">
        <f>IF(E36="", "", WORKDAY(E36, F36))</f>
        <v/>
      </c>
      <c r="H36" s="15" t="n"/>
      <c r="I36" s="15" t="n"/>
      <c r="J36" s="16" t="n"/>
    </row>
    <row r="37">
      <c r="A37" s="15" t="n"/>
      <c r="B37" s="16" t="n"/>
      <c r="C37" s="16" t="n"/>
      <c r="D37" s="15" t="n"/>
      <c r="E37" s="15" t="n"/>
      <c r="F37" s="15">
        <f>IFERROR(VLOOKUP(D37, Config!A:B, 2, FALSE), "")</f>
        <v/>
      </c>
      <c r="G37" s="15">
        <f>IF(E37="", "", WORKDAY(E37, F37))</f>
        <v/>
      </c>
      <c r="H37" s="15" t="n"/>
      <c r="I37" s="15" t="n"/>
      <c r="J37" s="16" t="n"/>
    </row>
    <row r="38">
      <c r="A38" s="15" t="n"/>
      <c r="B38" s="16" t="n"/>
      <c r="C38" s="16" t="n"/>
      <c r="D38" s="15" t="n"/>
      <c r="E38" s="15" t="n"/>
      <c r="F38" s="15">
        <f>IFERROR(VLOOKUP(D38, Config!A:B, 2, FALSE), "")</f>
        <v/>
      </c>
      <c r="G38" s="15">
        <f>IF(E38="", "", WORKDAY(E38, F38))</f>
        <v/>
      </c>
      <c r="H38" s="15" t="n"/>
      <c r="I38" s="15" t="n"/>
      <c r="J38" s="16" t="n"/>
    </row>
    <row r="39">
      <c r="A39" s="15" t="n"/>
      <c r="B39" s="16" t="n"/>
      <c r="C39" s="16" t="n"/>
      <c r="D39" s="15" t="n"/>
      <c r="E39" s="15" t="n"/>
      <c r="F39" s="15">
        <f>IFERROR(VLOOKUP(D39, Config!A:B, 2, FALSE), "")</f>
        <v/>
      </c>
      <c r="G39" s="15">
        <f>IF(E39="", "", WORKDAY(E39, F39))</f>
        <v/>
      </c>
      <c r="H39" s="15" t="n"/>
      <c r="I39" s="15" t="n"/>
      <c r="J39" s="16" t="n"/>
    </row>
    <row r="40">
      <c r="A40" s="15" t="n"/>
      <c r="B40" s="16" t="n"/>
      <c r="C40" s="16" t="n"/>
      <c r="D40" s="15" t="n"/>
      <c r="E40" s="15" t="n"/>
      <c r="F40" s="15">
        <f>IFERROR(VLOOKUP(D40, Config!A:B, 2, FALSE), "")</f>
        <v/>
      </c>
      <c r="G40" s="15">
        <f>IF(E40="", "", WORKDAY(E40, F40))</f>
        <v/>
      </c>
      <c r="H40" s="15" t="n"/>
      <c r="I40" s="15" t="n"/>
      <c r="J40" s="16" t="n"/>
    </row>
    <row r="41">
      <c r="A41" s="15" t="n"/>
      <c r="B41" s="16" t="n"/>
      <c r="C41" s="16" t="n"/>
      <c r="D41" s="15" t="n"/>
      <c r="E41" s="15" t="n"/>
      <c r="F41" s="15">
        <f>IFERROR(VLOOKUP(D41, Config!A:B, 2, FALSE), "")</f>
        <v/>
      </c>
      <c r="G41" s="15">
        <f>IF(E41="", "", WORKDAY(E41, F41))</f>
        <v/>
      </c>
      <c r="H41" s="15" t="n"/>
      <c r="I41" s="15" t="n"/>
      <c r="J41" s="16" t="n"/>
    </row>
    <row r="42">
      <c r="A42" s="15" t="n"/>
      <c r="B42" s="16" t="n"/>
      <c r="C42" s="16" t="n"/>
      <c r="D42" s="15" t="n"/>
      <c r="E42" s="15" t="n"/>
      <c r="F42" s="15">
        <f>IFERROR(VLOOKUP(D42, Config!A:B, 2, FALSE), "")</f>
        <v/>
      </c>
      <c r="G42" s="15">
        <f>IF(E42="", "", WORKDAY(E42, F42))</f>
        <v/>
      </c>
      <c r="H42" s="15" t="n"/>
      <c r="I42" s="15" t="n"/>
      <c r="J42" s="16" t="n"/>
    </row>
    <row r="43">
      <c r="A43" s="15" t="n"/>
      <c r="B43" s="16" t="n"/>
      <c r="C43" s="16" t="n"/>
      <c r="D43" s="15" t="n"/>
      <c r="E43" s="15" t="n"/>
      <c r="F43" s="15">
        <f>IFERROR(VLOOKUP(D43, Config!A:B, 2, FALSE), "")</f>
        <v/>
      </c>
      <c r="G43" s="15">
        <f>IF(E43="", "", WORKDAY(E43, F43))</f>
        <v/>
      </c>
      <c r="H43" s="15" t="n"/>
      <c r="I43" s="15" t="n"/>
      <c r="J43" s="16" t="n"/>
    </row>
    <row r="44">
      <c r="A44" s="15" t="n"/>
      <c r="B44" s="16" t="n"/>
      <c r="C44" s="16" t="n"/>
      <c r="D44" s="15" t="n"/>
      <c r="E44" s="15" t="n"/>
      <c r="F44" s="15">
        <f>IFERROR(VLOOKUP(D44, Config!A:B, 2, FALSE), "")</f>
        <v/>
      </c>
      <c r="G44" s="15">
        <f>IF(E44="", "", WORKDAY(E44, F44))</f>
        <v/>
      </c>
      <c r="H44" s="15" t="n"/>
      <c r="I44" s="15" t="n"/>
      <c r="J44" s="16" t="n"/>
    </row>
    <row r="45">
      <c r="A45" s="15" t="n"/>
      <c r="B45" s="16" t="n"/>
      <c r="C45" s="16" t="n"/>
      <c r="D45" s="15" t="n"/>
      <c r="E45" s="15" t="n"/>
      <c r="F45" s="15">
        <f>IFERROR(VLOOKUP(D45, Config!A:B, 2, FALSE), "")</f>
        <v/>
      </c>
      <c r="G45" s="15">
        <f>IF(E45="", "", WORKDAY(E45, F45))</f>
        <v/>
      </c>
      <c r="H45" s="15" t="n"/>
      <c r="I45" s="15" t="n"/>
      <c r="J45" s="16" t="n"/>
    </row>
    <row r="46">
      <c r="A46" s="15" t="n"/>
      <c r="B46" s="16" t="n"/>
      <c r="C46" s="16" t="n"/>
      <c r="D46" s="15" t="n"/>
      <c r="E46" s="15" t="n"/>
      <c r="F46" s="15">
        <f>IFERROR(VLOOKUP(D46, Config!A:B, 2, FALSE), "")</f>
        <v/>
      </c>
      <c r="G46" s="15">
        <f>IF(E46="", "", WORKDAY(E46, F46))</f>
        <v/>
      </c>
      <c r="H46" s="15" t="n"/>
      <c r="I46" s="15" t="n"/>
      <c r="J46" s="16" t="n"/>
    </row>
    <row r="47">
      <c r="A47" s="15" t="n"/>
      <c r="B47" s="16" t="n"/>
      <c r="C47" s="16" t="n"/>
      <c r="D47" s="15" t="n"/>
      <c r="E47" s="15" t="n"/>
      <c r="F47" s="15">
        <f>IFERROR(VLOOKUP(D47, Config!A:B, 2, FALSE), "")</f>
        <v/>
      </c>
      <c r="G47" s="15">
        <f>IF(E47="", "", WORKDAY(E47, F47))</f>
        <v/>
      </c>
      <c r="H47" s="15" t="n"/>
      <c r="I47" s="15" t="n"/>
      <c r="J47" s="16" t="n"/>
    </row>
    <row r="48">
      <c r="A48" s="15" t="n"/>
      <c r="B48" s="16" t="n"/>
      <c r="C48" s="16" t="n"/>
      <c r="D48" s="15" t="n"/>
      <c r="E48" s="15" t="n"/>
      <c r="F48" s="15">
        <f>IFERROR(VLOOKUP(D48, Config!A:B, 2, FALSE), "")</f>
        <v/>
      </c>
      <c r="G48" s="15">
        <f>IF(E48="", "", WORKDAY(E48, F48))</f>
        <v/>
      </c>
      <c r="H48" s="15" t="n"/>
      <c r="I48" s="15" t="n"/>
      <c r="J48" s="16" t="n"/>
    </row>
    <row r="49">
      <c r="A49" s="15" t="n"/>
      <c r="B49" s="16" t="n"/>
      <c r="C49" s="16" t="n"/>
      <c r="D49" s="15" t="n"/>
      <c r="E49" s="15" t="n"/>
      <c r="F49" s="15">
        <f>IFERROR(VLOOKUP(D49, Config!A:B, 2, FALSE), "")</f>
        <v/>
      </c>
      <c r="G49" s="15">
        <f>IF(E49="", "", WORKDAY(E49, F49))</f>
        <v/>
      </c>
      <c r="H49" s="15" t="n"/>
      <c r="I49" s="15" t="n"/>
      <c r="J49" s="16" t="n"/>
    </row>
    <row r="50">
      <c r="A50" s="15" t="n"/>
      <c r="B50" s="16" t="n"/>
      <c r="C50" s="16" t="n"/>
      <c r="D50" s="15" t="n"/>
      <c r="E50" s="15" t="n"/>
      <c r="F50" s="15">
        <f>IFERROR(VLOOKUP(D50, Config!A:B, 2, FALSE), "")</f>
        <v/>
      </c>
      <c r="G50" s="15">
        <f>IF(E50="", "", WORKDAY(E50, F50))</f>
        <v/>
      </c>
      <c r="H50" s="15" t="n"/>
      <c r="I50" s="15" t="n"/>
      <c r="J50" s="16" t="n"/>
    </row>
    <row r="51">
      <c r="A51" s="15" t="n"/>
      <c r="B51" s="16" t="n"/>
      <c r="C51" s="16" t="n"/>
      <c r="D51" s="15" t="n"/>
      <c r="E51" s="15" t="n"/>
      <c r="F51" s="15">
        <f>IFERROR(VLOOKUP(D51, Config!A:B, 2, FALSE), "")</f>
        <v/>
      </c>
      <c r="G51" s="15">
        <f>IF(E51="", "", WORKDAY(E51, F51))</f>
        <v/>
      </c>
      <c r="H51" s="15" t="n"/>
      <c r="I51" s="15" t="n"/>
      <c r="J51" s="16" t="n"/>
    </row>
    <row r="52">
      <c r="A52" s="15" t="n"/>
      <c r="B52" s="16" t="n"/>
      <c r="C52" s="16" t="n"/>
      <c r="D52" s="15" t="n"/>
      <c r="E52" s="15" t="n"/>
      <c r="F52" s="15">
        <f>IFERROR(VLOOKUP(D52, Config!A:B, 2, FALSE), "")</f>
        <v/>
      </c>
      <c r="G52" s="15">
        <f>IF(E52="", "", WORKDAY(E52, F52))</f>
        <v/>
      </c>
      <c r="H52" s="15" t="n"/>
      <c r="I52" s="15" t="n"/>
      <c r="J52" s="16" t="n"/>
    </row>
    <row r="53">
      <c r="A53" s="15" t="n"/>
      <c r="B53" s="16" t="n"/>
      <c r="C53" s="16" t="n"/>
      <c r="D53" s="15" t="n"/>
      <c r="E53" s="15" t="n"/>
      <c r="F53" s="15">
        <f>IFERROR(VLOOKUP(D53, Config!A:B, 2, FALSE), "")</f>
        <v/>
      </c>
      <c r="G53" s="15">
        <f>IF(E53="", "", WORKDAY(E53, F53))</f>
        <v/>
      </c>
      <c r="H53" s="15" t="n"/>
      <c r="I53" s="15" t="n"/>
      <c r="J53" s="16" t="n"/>
    </row>
    <row r="54">
      <c r="A54" s="15" t="n"/>
      <c r="B54" s="16" t="n"/>
      <c r="C54" s="16" t="n"/>
      <c r="D54" s="15" t="n"/>
      <c r="E54" s="15" t="n"/>
      <c r="F54" s="15">
        <f>IFERROR(VLOOKUP(D54, Config!A:B, 2, FALSE), "")</f>
        <v/>
      </c>
      <c r="G54" s="15">
        <f>IF(E54="", "", WORKDAY(E54, F54))</f>
        <v/>
      </c>
      <c r="H54" s="15" t="n"/>
      <c r="I54" s="15" t="n"/>
      <c r="J54" s="16" t="n"/>
    </row>
    <row r="55">
      <c r="A55" s="15" t="n"/>
      <c r="B55" s="16" t="n"/>
      <c r="C55" s="16" t="n"/>
      <c r="D55" s="15" t="n"/>
      <c r="E55" s="15" t="n"/>
      <c r="F55" s="15">
        <f>IFERROR(VLOOKUP(D55, Config!A:B, 2, FALSE), "")</f>
        <v/>
      </c>
      <c r="G55" s="15">
        <f>IF(E55="", "", WORKDAY(E55, F55))</f>
        <v/>
      </c>
      <c r="H55" s="15" t="n"/>
      <c r="I55" s="15" t="n"/>
      <c r="J55" s="16" t="n"/>
    </row>
    <row r="56">
      <c r="A56" s="15" t="n"/>
      <c r="B56" s="16" t="n"/>
      <c r="C56" s="16" t="n"/>
      <c r="D56" s="15" t="n"/>
      <c r="E56" s="15" t="n"/>
      <c r="F56" s="15">
        <f>IFERROR(VLOOKUP(D56, Config!A:B, 2, FALSE), "")</f>
        <v/>
      </c>
      <c r="G56" s="15">
        <f>IF(E56="", "", WORKDAY(E56, F56))</f>
        <v/>
      </c>
      <c r="H56" s="15" t="n"/>
      <c r="I56" s="15" t="n"/>
      <c r="J56" s="16" t="n"/>
    </row>
    <row r="57">
      <c r="A57" s="15" t="n"/>
      <c r="B57" s="16" t="n"/>
      <c r="C57" s="16" t="n"/>
      <c r="D57" s="15" t="n"/>
      <c r="E57" s="15" t="n"/>
      <c r="F57" s="15">
        <f>IFERROR(VLOOKUP(D57, Config!A:B, 2, FALSE), "")</f>
        <v/>
      </c>
      <c r="G57" s="15">
        <f>IF(E57="", "", WORKDAY(E57, F57))</f>
        <v/>
      </c>
      <c r="H57" s="15" t="n"/>
      <c r="I57" s="15" t="n"/>
      <c r="J57" s="16" t="n"/>
    </row>
    <row r="58">
      <c r="A58" s="15" t="n"/>
      <c r="B58" s="16" t="n"/>
      <c r="C58" s="16" t="n"/>
      <c r="D58" s="15" t="n"/>
      <c r="E58" s="15" t="n"/>
      <c r="F58" s="15">
        <f>IFERROR(VLOOKUP(D58, Config!A:B, 2, FALSE), "")</f>
        <v/>
      </c>
      <c r="G58" s="15">
        <f>IF(E58="", "", WORKDAY(E58, F58))</f>
        <v/>
      </c>
      <c r="H58" s="15" t="n"/>
      <c r="I58" s="15" t="n"/>
      <c r="J58" s="16" t="n"/>
    </row>
    <row r="59">
      <c r="A59" s="15" t="n"/>
      <c r="B59" s="16" t="n"/>
      <c r="C59" s="16" t="n"/>
      <c r="D59" s="15" t="n"/>
      <c r="E59" s="15" t="n"/>
      <c r="F59" s="15">
        <f>IFERROR(VLOOKUP(D59, Config!A:B, 2, FALSE), "")</f>
        <v/>
      </c>
      <c r="G59" s="15">
        <f>IF(E59="", "", WORKDAY(E59, F59))</f>
        <v/>
      </c>
      <c r="H59" s="15" t="n"/>
      <c r="I59" s="15" t="n"/>
      <c r="J59" s="16" t="n"/>
    </row>
    <row r="60">
      <c r="A60" s="15" t="n"/>
      <c r="B60" s="16" t="n"/>
      <c r="C60" s="16" t="n"/>
      <c r="D60" s="15" t="n"/>
      <c r="E60" s="15" t="n"/>
      <c r="F60" s="15">
        <f>IFERROR(VLOOKUP(D60, Config!A:B, 2, FALSE), "")</f>
        <v/>
      </c>
      <c r="G60" s="15">
        <f>IF(E60="", "", WORKDAY(E60, F60))</f>
        <v/>
      </c>
      <c r="H60" s="15" t="n"/>
      <c r="I60" s="15" t="n"/>
      <c r="J60" s="16" t="n"/>
    </row>
    <row r="61">
      <c r="A61" s="15" t="n"/>
      <c r="B61" s="16" t="n"/>
      <c r="C61" s="16" t="n"/>
      <c r="D61" s="15" t="n"/>
      <c r="E61" s="15" t="n"/>
      <c r="F61" s="15">
        <f>IFERROR(VLOOKUP(D61, Config!A:B, 2, FALSE), "")</f>
        <v/>
      </c>
      <c r="G61" s="15">
        <f>IF(E61="", "", WORKDAY(E61, F61))</f>
        <v/>
      </c>
      <c r="H61" s="15" t="n"/>
      <c r="I61" s="15" t="n"/>
      <c r="J61" s="16" t="n"/>
    </row>
    <row r="62">
      <c r="A62" s="15" t="n"/>
      <c r="B62" s="16" t="n"/>
      <c r="C62" s="16" t="n"/>
      <c r="D62" s="15" t="n"/>
      <c r="E62" s="15" t="n"/>
      <c r="F62" s="15">
        <f>IFERROR(VLOOKUP(D62, Config!A:B, 2, FALSE), "")</f>
        <v/>
      </c>
      <c r="G62" s="15">
        <f>IF(E62="", "", WORKDAY(E62, F62))</f>
        <v/>
      </c>
      <c r="H62" s="15" t="n"/>
      <c r="I62" s="15" t="n"/>
      <c r="J62" s="16" t="n"/>
    </row>
    <row r="63">
      <c r="A63" s="15" t="n"/>
      <c r="B63" s="16" t="n"/>
      <c r="C63" s="16" t="n"/>
      <c r="D63" s="15" t="n"/>
      <c r="E63" s="15" t="n"/>
      <c r="F63" s="15">
        <f>IFERROR(VLOOKUP(D63, Config!A:B, 2, FALSE), "")</f>
        <v/>
      </c>
      <c r="G63" s="15">
        <f>IF(E63="", "", WORKDAY(E63, F63))</f>
        <v/>
      </c>
      <c r="H63" s="15" t="n"/>
      <c r="I63" s="15" t="n"/>
      <c r="J63" s="16" t="n"/>
    </row>
    <row r="64">
      <c r="A64" s="15" t="n"/>
      <c r="B64" s="16" t="n"/>
      <c r="C64" s="16" t="n"/>
      <c r="D64" s="15" t="n"/>
      <c r="E64" s="15" t="n"/>
      <c r="F64" s="15">
        <f>IFERROR(VLOOKUP(D64, Config!A:B, 2, FALSE), "")</f>
        <v/>
      </c>
      <c r="G64" s="15">
        <f>IF(E64="", "", WORKDAY(E64, F64))</f>
        <v/>
      </c>
      <c r="H64" s="15" t="n"/>
      <c r="I64" s="15" t="n"/>
      <c r="J64" s="16" t="n"/>
    </row>
    <row r="65">
      <c r="A65" s="15" t="n"/>
      <c r="B65" s="16" t="n"/>
      <c r="C65" s="16" t="n"/>
      <c r="D65" s="15" t="n"/>
      <c r="E65" s="15" t="n"/>
      <c r="F65" s="15">
        <f>IFERROR(VLOOKUP(D65, Config!A:B, 2, FALSE), "")</f>
        <v/>
      </c>
      <c r="G65" s="15">
        <f>IF(E65="", "", WORKDAY(E65, F65))</f>
        <v/>
      </c>
      <c r="H65" s="15" t="n"/>
      <c r="I65" s="15" t="n"/>
      <c r="J65" s="16" t="n"/>
    </row>
    <row r="66">
      <c r="A66" s="15" t="n"/>
      <c r="B66" s="16" t="n"/>
      <c r="C66" s="16" t="n"/>
      <c r="D66" s="15" t="n"/>
      <c r="E66" s="15" t="n"/>
      <c r="F66" s="15">
        <f>IFERROR(VLOOKUP(D66, Config!A:B, 2, FALSE), "")</f>
        <v/>
      </c>
      <c r="G66" s="15">
        <f>IF(E66="", "", WORKDAY(E66, F66))</f>
        <v/>
      </c>
      <c r="H66" s="15" t="n"/>
      <c r="I66" s="15" t="n"/>
      <c r="J66" s="16" t="n"/>
    </row>
    <row r="67">
      <c r="A67" s="15" t="n"/>
      <c r="B67" s="16" t="n"/>
      <c r="C67" s="16" t="n"/>
      <c r="D67" s="15" t="n"/>
      <c r="E67" s="15" t="n"/>
      <c r="F67" s="15">
        <f>IFERROR(VLOOKUP(D67, Config!A:B, 2, FALSE), "")</f>
        <v/>
      </c>
      <c r="G67" s="15">
        <f>IF(E67="", "", WORKDAY(E67, F67))</f>
        <v/>
      </c>
      <c r="H67" s="15" t="n"/>
      <c r="I67" s="15" t="n"/>
      <c r="J67" s="16" t="n"/>
    </row>
    <row r="68">
      <c r="A68" s="15" t="n"/>
      <c r="B68" s="16" t="n"/>
      <c r="C68" s="16" t="n"/>
      <c r="D68" s="15" t="n"/>
      <c r="E68" s="15" t="n"/>
      <c r="F68" s="15">
        <f>IFERROR(VLOOKUP(D68, Config!A:B, 2, FALSE), "")</f>
        <v/>
      </c>
      <c r="G68" s="15">
        <f>IF(E68="", "", WORKDAY(E68, F68))</f>
        <v/>
      </c>
      <c r="H68" s="15" t="n"/>
      <c r="I68" s="15" t="n"/>
      <c r="J68" s="16" t="n"/>
    </row>
    <row r="69">
      <c r="A69" s="15" t="n"/>
      <c r="B69" s="16" t="n"/>
      <c r="C69" s="16" t="n"/>
      <c r="D69" s="15" t="n"/>
      <c r="E69" s="15" t="n"/>
      <c r="F69" s="15">
        <f>IFERROR(VLOOKUP(D69, Config!A:B, 2, FALSE), "")</f>
        <v/>
      </c>
      <c r="G69" s="15">
        <f>IF(E69="", "", WORKDAY(E69, F69))</f>
        <v/>
      </c>
      <c r="H69" s="15" t="n"/>
      <c r="I69" s="15" t="n"/>
      <c r="J69" s="16" t="n"/>
    </row>
    <row r="70">
      <c r="A70" s="15" t="n"/>
      <c r="B70" s="16" t="n"/>
      <c r="C70" s="16" t="n"/>
      <c r="D70" s="15" t="n"/>
      <c r="E70" s="15" t="n"/>
      <c r="F70" s="15">
        <f>IFERROR(VLOOKUP(D70, Config!A:B, 2, FALSE), "")</f>
        <v/>
      </c>
      <c r="G70" s="15">
        <f>IF(E70="", "", WORKDAY(E70, F70))</f>
        <v/>
      </c>
      <c r="H70" s="15" t="n"/>
      <c r="I70" s="15" t="n"/>
      <c r="J70" s="16" t="n"/>
    </row>
    <row r="71">
      <c r="A71" s="15" t="n"/>
      <c r="B71" s="16" t="n"/>
      <c r="C71" s="16" t="n"/>
      <c r="D71" s="15" t="n"/>
      <c r="E71" s="15" t="n"/>
      <c r="F71" s="15">
        <f>IFERROR(VLOOKUP(D71, Config!A:B, 2, FALSE), "")</f>
        <v/>
      </c>
      <c r="G71" s="15">
        <f>IF(E71="", "", WORKDAY(E71, F71))</f>
        <v/>
      </c>
      <c r="H71" s="15" t="n"/>
      <c r="I71" s="15" t="n"/>
      <c r="J71" s="16" t="n"/>
    </row>
    <row r="72">
      <c r="A72" s="15" t="n"/>
      <c r="B72" s="16" t="n"/>
      <c r="C72" s="16" t="n"/>
      <c r="D72" s="15" t="n"/>
      <c r="E72" s="15" t="n"/>
      <c r="F72" s="15">
        <f>IFERROR(VLOOKUP(D72, Config!A:B, 2, FALSE), "")</f>
        <v/>
      </c>
      <c r="G72" s="15">
        <f>IF(E72="", "", WORKDAY(E72, F72))</f>
        <v/>
      </c>
      <c r="H72" s="15" t="n"/>
      <c r="I72" s="15" t="n"/>
      <c r="J72" s="16" t="n"/>
    </row>
    <row r="73">
      <c r="A73" s="15" t="n"/>
      <c r="B73" s="16" t="n"/>
      <c r="C73" s="16" t="n"/>
      <c r="D73" s="15" t="n"/>
      <c r="E73" s="15" t="n"/>
      <c r="F73" s="15">
        <f>IFERROR(VLOOKUP(D73, Config!A:B, 2, FALSE), "")</f>
        <v/>
      </c>
      <c r="G73" s="15">
        <f>IF(E73="", "", WORKDAY(E73, F73))</f>
        <v/>
      </c>
      <c r="H73" s="15" t="n"/>
      <c r="I73" s="15" t="n"/>
      <c r="J73" s="16" t="n"/>
    </row>
    <row r="74">
      <c r="A74" s="15" t="n"/>
      <c r="B74" s="16" t="n"/>
      <c r="C74" s="16" t="n"/>
      <c r="D74" s="15" t="n"/>
      <c r="E74" s="15" t="n"/>
      <c r="F74" s="15">
        <f>IFERROR(VLOOKUP(D74, Config!A:B, 2, FALSE), "")</f>
        <v/>
      </c>
      <c r="G74" s="15">
        <f>IF(E74="", "", WORKDAY(E74, F74))</f>
        <v/>
      </c>
      <c r="H74" s="15" t="n"/>
      <c r="I74" s="15" t="n"/>
      <c r="J74" s="16" t="n"/>
    </row>
    <row r="75">
      <c r="A75" s="15" t="n"/>
      <c r="B75" s="16" t="n"/>
      <c r="C75" s="16" t="n"/>
      <c r="D75" s="15" t="n"/>
      <c r="E75" s="15" t="n"/>
      <c r="F75" s="15">
        <f>IFERROR(VLOOKUP(D75, Config!A:B, 2, FALSE), "")</f>
        <v/>
      </c>
      <c r="G75" s="15">
        <f>IF(E75="", "", WORKDAY(E75, F75))</f>
        <v/>
      </c>
      <c r="H75" s="15" t="n"/>
      <c r="I75" s="15" t="n"/>
      <c r="J75" s="16" t="n"/>
    </row>
    <row r="76">
      <c r="A76" s="15" t="n"/>
      <c r="B76" s="16" t="n"/>
      <c r="C76" s="16" t="n"/>
      <c r="D76" s="15" t="n"/>
      <c r="E76" s="15" t="n"/>
      <c r="F76" s="15">
        <f>IFERROR(VLOOKUP(D76, Config!A:B, 2, FALSE), "")</f>
        <v/>
      </c>
      <c r="G76" s="15">
        <f>IF(E76="", "", WORKDAY(E76, F76))</f>
        <v/>
      </c>
      <c r="H76" s="15" t="n"/>
      <c r="I76" s="15" t="n"/>
      <c r="J76" s="16" t="n"/>
    </row>
    <row r="77">
      <c r="A77" s="15" t="n"/>
      <c r="B77" s="16" t="n"/>
      <c r="C77" s="16" t="n"/>
      <c r="D77" s="15" t="n"/>
      <c r="E77" s="15" t="n"/>
      <c r="F77" s="15">
        <f>IFERROR(VLOOKUP(D77, Config!A:B, 2, FALSE), "")</f>
        <v/>
      </c>
      <c r="G77" s="15">
        <f>IF(E77="", "", WORKDAY(E77, F77))</f>
        <v/>
      </c>
      <c r="H77" s="15" t="n"/>
      <c r="I77" s="15" t="n"/>
      <c r="J77" s="16" t="n"/>
    </row>
    <row r="78">
      <c r="A78" s="15" t="n"/>
      <c r="B78" s="16" t="n"/>
      <c r="C78" s="16" t="n"/>
      <c r="D78" s="15" t="n"/>
      <c r="E78" s="15" t="n"/>
      <c r="F78" s="15">
        <f>IFERROR(VLOOKUP(D78, Config!A:B, 2, FALSE), "")</f>
        <v/>
      </c>
      <c r="G78" s="15">
        <f>IF(E78="", "", WORKDAY(E78, F78))</f>
        <v/>
      </c>
      <c r="H78" s="15" t="n"/>
      <c r="I78" s="15" t="n"/>
      <c r="J78" s="16" t="n"/>
    </row>
    <row r="79">
      <c r="A79" s="15" t="n"/>
      <c r="B79" s="16" t="n"/>
      <c r="C79" s="16" t="n"/>
      <c r="D79" s="15" t="n"/>
      <c r="E79" s="15" t="n"/>
      <c r="F79" s="15">
        <f>IFERROR(VLOOKUP(D79, Config!A:B, 2, FALSE), "")</f>
        <v/>
      </c>
      <c r="G79" s="15">
        <f>IF(E79="", "", WORKDAY(E79, F79))</f>
        <v/>
      </c>
      <c r="H79" s="15" t="n"/>
      <c r="I79" s="15" t="n"/>
      <c r="J79" s="16" t="n"/>
    </row>
    <row r="80">
      <c r="A80" s="15" t="n"/>
      <c r="B80" s="16" t="n"/>
      <c r="C80" s="16" t="n"/>
      <c r="D80" s="15" t="n"/>
      <c r="E80" s="15" t="n"/>
      <c r="F80" s="15">
        <f>IFERROR(VLOOKUP(D80, Config!A:B, 2, FALSE), "")</f>
        <v/>
      </c>
      <c r="G80" s="15">
        <f>IF(E80="", "", WORKDAY(E80, F80))</f>
        <v/>
      </c>
      <c r="H80" s="15" t="n"/>
      <c r="I80" s="15" t="n"/>
      <c r="J80" s="16" t="n"/>
    </row>
    <row r="81">
      <c r="A81" s="15" t="n"/>
      <c r="B81" s="16" t="n"/>
      <c r="C81" s="16" t="n"/>
      <c r="D81" s="15" t="n"/>
      <c r="E81" s="15" t="n"/>
      <c r="F81" s="15">
        <f>IFERROR(VLOOKUP(D81, Config!A:B, 2, FALSE), "")</f>
        <v/>
      </c>
      <c r="G81" s="15">
        <f>IF(E81="", "", WORKDAY(E81, F81))</f>
        <v/>
      </c>
      <c r="H81" s="15" t="n"/>
      <c r="I81" s="15" t="n"/>
      <c r="J81" s="16" t="n"/>
    </row>
    <row r="82">
      <c r="A82" s="15" t="n"/>
      <c r="B82" s="16" t="n"/>
      <c r="C82" s="16" t="n"/>
      <c r="D82" s="15" t="n"/>
      <c r="E82" s="15" t="n"/>
      <c r="F82" s="15">
        <f>IFERROR(VLOOKUP(D82, Config!A:B, 2, FALSE), "")</f>
        <v/>
      </c>
      <c r="G82" s="15">
        <f>IF(E82="", "", WORKDAY(E82, F82))</f>
        <v/>
      </c>
      <c r="H82" s="15" t="n"/>
      <c r="I82" s="15" t="n"/>
      <c r="J82" s="16" t="n"/>
    </row>
    <row r="83">
      <c r="A83" s="15" t="n"/>
      <c r="B83" s="16" t="n"/>
      <c r="C83" s="16" t="n"/>
      <c r="D83" s="15" t="n"/>
      <c r="E83" s="15" t="n"/>
      <c r="F83" s="15">
        <f>IFERROR(VLOOKUP(D83, Config!A:B, 2, FALSE), "")</f>
        <v/>
      </c>
      <c r="G83" s="15">
        <f>IF(E83="", "", WORKDAY(E83, F83))</f>
        <v/>
      </c>
      <c r="H83" s="15" t="n"/>
      <c r="I83" s="15" t="n"/>
      <c r="J83" s="16" t="n"/>
    </row>
    <row r="84">
      <c r="A84" s="15" t="n"/>
      <c r="B84" s="16" t="n"/>
      <c r="C84" s="16" t="n"/>
      <c r="D84" s="15" t="n"/>
      <c r="E84" s="15" t="n"/>
      <c r="F84" s="15">
        <f>IFERROR(VLOOKUP(D84, Config!A:B, 2, FALSE), "")</f>
        <v/>
      </c>
      <c r="G84" s="15">
        <f>IF(E84="", "", WORKDAY(E84, F84))</f>
        <v/>
      </c>
      <c r="H84" s="15" t="n"/>
      <c r="I84" s="15" t="n"/>
      <c r="J84" s="16" t="n"/>
    </row>
    <row r="85">
      <c r="A85" s="15" t="n"/>
      <c r="B85" s="16" t="n"/>
      <c r="C85" s="16" t="n"/>
      <c r="D85" s="15" t="n"/>
      <c r="E85" s="15" t="n"/>
      <c r="F85" s="15">
        <f>IFERROR(VLOOKUP(D85, Config!A:B, 2, FALSE), "")</f>
        <v/>
      </c>
      <c r="G85" s="15">
        <f>IF(E85="", "", WORKDAY(E85, F85))</f>
        <v/>
      </c>
      <c r="H85" s="15" t="n"/>
      <c r="I85" s="15" t="n"/>
      <c r="J85" s="16" t="n"/>
    </row>
    <row r="86">
      <c r="A86" s="15" t="n"/>
      <c r="B86" s="16" t="n"/>
      <c r="C86" s="16" t="n"/>
      <c r="D86" s="15" t="n"/>
      <c r="E86" s="15" t="n"/>
      <c r="F86" s="15">
        <f>IFERROR(VLOOKUP(D86, Config!A:B, 2, FALSE), "")</f>
        <v/>
      </c>
      <c r="G86" s="15">
        <f>IF(E86="", "", WORKDAY(E86, F86))</f>
        <v/>
      </c>
      <c r="H86" s="15" t="n"/>
      <c r="I86" s="15" t="n"/>
      <c r="J86" s="16" t="n"/>
    </row>
    <row r="87">
      <c r="A87" s="15" t="n"/>
      <c r="B87" s="16" t="n"/>
      <c r="C87" s="16" t="n"/>
      <c r="D87" s="15" t="n"/>
      <c r="E87" s="15" t="n"/>
      <c r="F87" s="15">
        <f>IFERROR(VLOOKUP(D87, Config!A:B, 2, FALSE), "")</f>
        <v/>
      </c>
      <c r="G87" s="15">
        <f>IF(E87="", "", WORKDAY(E87, F87))</f>
        <v/>
      </c>
      <c r="H87" s="15" t="n"/>
      <c r="I87" s="15" t="n"/>
      <c r="J87" s="16" t="n"/>
    </row>
    <row r="88">
      <c r="A88" s="15" t="n"/>
      <c r="B88" s="16" t="n"/>
      <c r="C88" s="16" t="n"/>
      <c r="D88" s="15" t="n"/>
      <c r="E88" s="15" t="n"/>
      <c r="F88" s="15">
        <f>IFERROR(VLOOKUP(D88, Config!A:B, 2, FALSE), "")</f>
        <v/>
      </c>
      <c r="G88" s="15">
        <f>IF(E88="", "", WORKDAY(E88, F88))</f>
        <v/>
      </c>
      <c r="H88" s="15" t="n"/>
      <c r="I88" s="15" t="n"/>
      <c r="J88" s="16" t="n"/>
    </row>
    <row r="89">
      <c r="A89" s="15" t="n"/>
      <c r="B89" s="16" t="n"/>
      <c r="C89" s="16" t="n"/>
      <c r="D89" s="15" t="n"/>
      <c r="E89" s="15" t="n"/>
      <c r="F89" s="15">
        <f>IFERROR(VLOOKUP(D89, Config!A:B, 2, FALSE), "")</f>
        <v/>
      </c>
      <c r="G89" s="15">
        <f>IF(E89="", "", WORKDAY(E89, F89))</f>
        <v/>
      </c>
      <c r="H89" s="15" t="n"/>
      <c r="I89" s="15" t="n"/>
      <c r="J89" s="16" t="n"/>
    </row>
    <row r="90">
      <c r="A90" s="15" t="n"/>
      <c r="B90" s="16" t="n"/>
      <c r="C90" s="16" t="n"/>
      <c r="D90" s="15" t="n"/>
      <c r="E90" s="15" t="n"/>
      <c r="F90" s="15">
        <f>IFERROR(VLOOKUP(D90, Config!A:B, 2, FALSE), "")</f>
        <v/>
      </c>
      <c r="G90" s="15">
        <f>IF(E90="", "", WORKDAY(E90, F90))</f>
        <v/>
      </c>
      <c r="H90" s="15" t="n"/>
      <c r="I90" s="15" t="n"/>
      <c r="J90" s="16" t="n"/>
    </row>
    <row r="91">
      <c r="A91" s="15" t="n"/>
      <c r="B91" s="16" t="n"/>
      <c r="C91" s="16" t="n"/>
      <c r="D91" s="15" t="n"/>
      <c r="E91" s="15" t="n"/>
      <c r="F91" s="15">
        <f>IFERROR(VLOOKUP(D91, Config!A:B, 2, FALSE), "")</f>
        <v/>
      </c>
      <c r="G91" s="15">
        <f>IF(E91="", "", WORKDAY(E91, F91))</f>
        <v/>
      </c>
      <c r="H91" s="15" t="n"/>
      <c r="I91" s="15" t="n"/>
      <c r="J91" s="16" t="n"/>
    </row>
    <row r="92">
      <c r="A92" s="15" t="n"/>
      <c r="B92" s="16" t="n"/>
      <c r="C92" s="16" t="n"/>
      <c r="D92" s="15" t="n"/>
      <c r="E92" s="15" t="n"/>
      <c r="F92" s="15">
        <f>IFERROR(VLOOKUP(D92, Config!A:B, 2, FALSE), "")</f>
        <v/>
      </c>
      <c r="G92" s="15">
        <f>IF(E92="", "", WORKDAY(E92, F92))</f>
        <v/>
      </c>
      <c r="H92" s="15" t="n"/>
      <c r="I92" s="15" t="n"/>
      <c r="J92" s="16" t="n"/>
    </row>
    <row r="93">
      <c r="A93" s="15" t="n"/>
      <c r="B93" s="16" t="n"/>
      <c r="C93" s="16" t="n"/>
      <c r="D93" s="15" t="n"/>
      <c r="E93" s="15" t="n"/>
      <c r="F93" s="15">
        <f>IFERROR(VLOOKUP(D93, Config!A:B, 2, FALSE), "")</f>
        <v/>
      </c>
      <c r="G93" s="15">
        <f>IF(E93="", "", WORKDAY(E93, F93))</f>
        <v/>
      </c>
      <c r="H93" s="15" t="n"/>
      <c r="I93" s="15" t="n"/>
      <c r="J93" s="16" t="n"/>
    </row>
    <row r="94">
      <c r="A94" s="15" t="n"/>
      <c r="B94" s="16" t="n"/>
      <c r="C94" s="16" t="n"/>
      <c r="D94" s="15" t="n"/>
      <c r="E94" s="15" t="n"/>
      <c r="F94" s="15">
        <f>IFERROR(VLOOKUP(D94, Config!A:B, 2, FALSE), "")</f>
        <v/>
      </c>
      <c r="G94" s="15">
        <f>IF(E94="", "", WORKDAY(E94, F94))</f>
        <v/>
      </c>
      <c r="H94" s="15" t="n"/>
      <c r="I94" s="15" t="n"/>
      <c r="J94" s="16" t="n"/>
    </row>
    <row r="95">
      <c r="A95" s="15" t="n"/>
      <c r="B95" s="16" t="n"/>
      <c r="C95" s="16" t="n"/>
      <c r="D95" s="15" t="n"/>
      <c r="E95" s="15" t="n"/>
      <c r="F95" s="15">
        <f>IFERROR(VLOOKUP(D95, Config!A:B, 2, FALSE), "")</f>
        <v/>
      </c>
      <c r="G95" s="15">
        <f>IF(E95="", "", WORKDAY(E95, F95))</f>
        <v/>
      </c>
      <c r="H95" s="15" t="n"/>
      <c r="I95" s="15" t="n"/>
      <c r="J95" s="16" t="n"/>
    </row>
    <row r="96">
      <c r="A96" s="15" t="n"/>
      <c r="B96" s="16" t="n"/>
      <c r="C96" s="16" t="n"/>
      <c r="D96" s="15" t="n"/>
      <c r="E96" s="15" t="n"/>
      <c r="F96" s="15">
        <f>IFERROR(VLOOKUP(D96, Config!A:B, 2, FALSE), "")</f>
        <v/>
      </c>
      <c r="G96" s="15">
        <f>IF(E96="", "", WORKDAY(E96, F96))</f>
        <v/>
      </c>
      <c r="H96" s="15" t="n"/>
      <c r="I96" s="15" t="n"/>
      <c r="J96" s="16" t="n"/>
    </row>
    <row r="97">
      <c r="A97" s="15" t="n"/>
      <c r="B97" s="16" t="n"/>
      <c r="C97" s="16" t="n"/>
      <c r="D97" s="15" t="n"/>
      <c r="E97" s="15" t="n"/>
      <c r="F97" s="15">
        <f>IFERROR(VLOOKUP(D97, Config!A:B, 2, FALSE), "")</f>
        <v/>
      </c>
      <c r="G97" s="15">
        <f>IF(E97="", "", WORKDAY(E97, F97))</f>
        <v/>
      </c>
      <c r="H97" s="15" t="n"/>
      <c r="I97" s="15" t="n"/>
      <c r="J97" s="16" t="n"/>
    </row>
    <row r="98">
      <c r="A98" s="15" t="n"/>
      <c r="B98" s="16" t="n"/>
      <c r="C98" s="16" t="n"/>
      <c r="D98" s="15" t="n"/>
      <c r="E98" s="15" t="n"/>
      <c r="F98" s="15">
        <f>IFERROR(VLOOKUP(D98, Config!A:B, 2, FALSE), "")</f>
        <v/>
      </c>
      <c r="G98" s="15">
        <f>IF(E98="", "", WORKDAY(E98, F98))</f>
        <v/>
      </c>
      <c r="H98" s="15" t="n"/>
      <c r="I98" s="15" t="n"/>
      <c r="J98" s="16" t="n"/>
    </row>
    <row r="99">
      <c r="A99" s="15" t="n"/>
      <c r="B99" s="16" t="n"/>
      <c r="C99" s="16" t="n"/>
      <c r="D99" s="15" t="n"/>
      <c r="E99" s="15" t="n"/>
      <c r="F99" s="15">
        <f>IFERROR(VLOOKUP(D99, Config!A:B, 2, FALSE), "")</f>
        <v/>
      </c>
      <c r="G99" s="15">
        <f>IF(E99="", "", WORKDAY(E99, F99))</f>
        <v/>
      </c>
      <c r="H99" s="15" t="n"/>
      <c r="I99" s="15" t="n"/>
      <c r="J99" s="16" t="n"/>
    </row>
    <row r="100">
      <c r="A100" s="15" t="n"/>
      <c r="B100" s="16" t="n"/>
      <c r="C100" s="16" t="n"/>
      <c r="D100" s="15" t="n"/>
      <c r="E100" s="15" t="n"/>
      <c r="F100" s="15">
        <f>IFERROR(VLOOKUP(D100, Config!A:B, 2, FALSE), "")</f>
        <v/>
      </c>
      <c r="G100" s="15">
        <f>IF(E100="", "", WORKDAY(E100, F100))</f>
        <v/>
      </c>
      <c r="H100" s="15" t="n"/>
      <c r="I100" s="15" t="n"/>
      <c r="J100" s="16" t="n"/>
    </row>
  </sheetData>
  <conditionalFormatting sqref="D2:D1000">
    <cfRule type="cellIs" priority="1" operator="equal" dxfId="3">
      <formula>"Baixa"</formula>
    </cfRule>
    <cfRule type="cellIs" priority="2" operator="equal" dxfId="4">
      <formula>"Média"</formula>
    </cfRule>
    <cfRule type="cellIs" priority="3" operator="equal" dxfId="5">
      <formula>"Alta"</formula>
    </cfRule>
  </conditionalFormatting>
  <conditionalFormatting sqref="H2:H1000">
    <cfRule type="cellIs" priority="4" operator="equal" dxfId="3">
      <formula>"Finalizada"</formula>
    </cfRule>
  </conditionalFormatting>
  <dataValidations count="2">
    <dataValidation sqref="D2:D1000" showDropDown="1" showInputMessage="0" showErrorMessage="0" allowBlank="0" type="list">
      <formula1>"Baixa,Média,Alta"</formula1>
    </dataValidation>
    <dataValidation sqref="H2:H1000" showDropDown="1" showInputMessage="0" showErrorMessage="0" allowBlank="0" type="list">
      <formula1>"Pendente,Em Andamento,Finalizada"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25" customWidth="1" min="10" max="10"/>
  </cols>
  <sheetData>
    <row r="1">
      <c r="A1" s="14" t="inlineStr">
        <is>
          <t>ID</t>
        </is>
      </c>
      <c r="B1" s="14" t="inlineStr">
        <is>
          <t>Cliente</t>
        </is>
      </c>
      <c r="C1" s="14" t="inlineStr">
        <is>
          <t>Tipo de Ação</t>
        </is>
      </c>
      <c r="D1" s="14" t="inlineStr">
        <is>
          <t>Complexidade</t>
        </is>
      </c>
      <c r="E1" s="14" t="inlineStr">
        <is>
          <t>Data Envio Doc</t>
        </is>
      </c>
      <c r="F1" s="14" t="inlineStr">
        <is>
          <t>Prazo (Dias)</t>
        </is>
      </c>
      <c r="G1" s="14" t="inlineStr">
        <is>
          <t>Prazo Fatal</t>
        </is>
      </c>
      <c r="H1" s="14" t="inlineStr">
        <is>
          <t>Status</t>
        </is>
      </c>
      <c r="I1" s="14" t="inlineStr">
        <is>
          <t>Data Protocolo</t>
        </is>
      </c>
      <c r="J1" s="14" t="inlineStr">
        <is>
          <t>Advogado Responsável</t>
        </is>
      </c>
    </row>
    <row r="2">
      <c r="A2" s="15" t="n"/>
      <c r="B2" s="16" t="n"/>
      <c r="C2" s="16" t="n"/>
      <c r="D2" s="15" t="n"/>
      <c r="E2" s="15" t="n"/>
      <c r="F2" s="15">
        <f>IFERROR(VLOOKUP(D2, Config!A:B, 2, FALSE), "")</f>
        <v/>
      </c>
      <c r="G2" s="15">
        <f>IF(E2="", "", WORKDAY(E2, F2))</f>
        <v/>
      </c>
      <c r="H2" s="15" t="n"/>
      <c r="I2" s="15" t="n"/>
      <c r="J2" s="16" t="n"/>
    </row>
    <row r="3">
      <c r="A3" s="15" t="n"/>
      <c r="B3" s="16" t="n"/>
      <c r="C3" s="16" t="n"/>
      <c r="D3" s="15" t="n"/>
      <c r="E3" s="15" t="n"/>
      <c r="F3" s="15">
        <f>IFERROR(VLOOKUP(D3, Config!A:B, 2, FALSE), "")</f>
        <v/>
      </c>
      <c r="G3" s="15">
        <f>IF(E3="", "", WORKDAY(E3, F3))</f>
        <v/>
      </c>
      <c r="H3" s="15" t="n"/>
      <c r="I3" s="15" t="n"/>
      <c r="J3" s="16" t="n"/>
    </row>
    <row r="4">
      <c r="A4" s="15" t="n"/>
      <c r="B4" s="16" t="n"/>
      <c r="C4" s="16" t="n"/>
      <c r="D4" s="15" t="n"/>
      <c r="E4" s="15" t="n"/>
      <c r="F4" s="15">
        <f>IFERROR(VLOOKUP(D4, Config!A:B, 2, FALSE), "")</f>
        <v/>
      </c>
      <c r="G4" s="15">
        <f>IF(E4="", "", WORKDAY(E4, F4))</f>
        <v/>
      </c>
      <c r="H4" s="15" t="n"/>
      <c r="I4" s="15" t="n"/>
      <c r="J4" s="16" t="n"/>
    </row>
    <row r="5">
      <c r="A5" s="15" t="n"/>
      <c r="B5" s="16" t="n"/>
      <c r="C5" s="16" t="n"/>
      <c r="D5" s="15" t="n"/>
      <c r="E5" s="15" t="n"/>
      <c r="F5" s="15">
        <f>IFERROR(VLOOKUP(D5, Config!A:B, 2, FALSE), "")</f>
        <v/>
      </c>
      <c r="G5" s="15">
        <f>IF(E5="", "", WORKDAY(E5, F5))</f>
        <v/>
      </c>
      <c r="H5" s="15" t="n"/>
      <c r="I5" s="15" t="n"/>
      <c r="J5" s="16" t="n"/>
    </row>
    <row r="6">
      <c r="A6" s="15" t="n"/>
      <c r="B6" s="16" t="n"/>
      <c r="C6" s="16" t="n"/>
      <c r="D6" s="15" t="n"/>
      <c r="E6" s="15" t="n"/>
      <c r="F6" s="15">
        <f>IFERROR(VLOOKUP(D6, Config!A:B, 2, FALSE), "")</f>
        <v/>
      </c>
      <c r="G6" s="15">
        <f>IF(E6="", "", WORKDAY(E6, F6))</f>
        <v/>
      </c>
      <c r="H6" s="15" t="n"/>
      <c r="I6" s="15" t="n"/>
      <c r="J6" s="16" t="n"/>
    </row>
    <row r="7">
      <c r="A7" s="15" t="n"/>
      <c r="B7" s="16" t="n"/>
      <c r="C7" s="16" t="n"/>
      <c r="D7" s="15" t="n"/>
      <c r="E7" s="15" t="n"/>
      <c r="F7" s="15">
        <f>IFERROR(VLOOKUP(D7, Config!A:B, 2, FALSE), "")</f>
        <v/>
      </c>
      <c r="G7" s="15">
        <f>IF(E7="", "", WORKDAY(E7, F7))</f>
        <v/>
      </c>
      <c r="H7" s="15" t="n"/>
      <c r="I7" s="15" t="n"/>
      <c r="J7" s="16" t="n"/>
    </row>
    <row r="8">
      <c r="A8" s="15" t="n"/>
      <c r="B8" s="16" t="n"/>
      <c r="C8" s="16" t="n"/>
      <c r="D8" s="15" t="n"/>
      <c r="E8" s="15" t="n"/>
      <c r="F8" s="15">
        <f>IFERROR(VLOOKUP(D8, Config!A:B, 2, FALSE), "")</f>
        <v/>
      </c>
      <c r="G8" s="15">
        <f>IF(E8="", "", WORKDAY(E8, F8))</f>
        <v/>
      </c>
      <c r="H8" s="15" t="n"/>
      <c r="I8" s="15" t="n"/>
      <c r="J8" s="16" t="n"/>
    </row>
    <row r="9">
      <c r="A9" s="15" t="n"/>
      <c r="B9" s="16" t="n"/>
      <c r="C9" s="16" t="n"/>
      <c r="D9" s="15" t="n"/>
      <c r="E9" s="15" t="n"/>
      <c r="F9" s="15">
        <f>IFERROR(VLOOKUP(D9, Config!A:B, 2, FALSE), "")</f>
        <v/>
      </c>
      <c r="G9" s="15">
        <f>IF(E9="", "", WORKDAY(E9, F9))</f>
        <v/>
      </c>
      <c r="H9" s="15" t="n"/>
      <c r="I9" s="15" t="n"/>
      <c r="J9" s="16" t="n"/>
    </row>
    <row r="10">
      <c r="A10" s="15" t="n"/>
      <c r="B10" s="16" t="n"/>
      <c r="C10" s="16" t="n"/>
      <c r="D10" s="15" t="n"/>
      <c r="E10" s="15" t="n"/>
      <c r="F10" s="15">
        <f>IFERROR(VLOOKUP(D10, Config!A:B, 2, FALSE), "")</f>
        <v/>
      </c>
      <c r="G10" s="15">
        <f>IF(E10="", "", WORKDAY(E10, F10))</f>
        <v/>
      </c>
      <c r="H10" s="15" t="n"/>
      <c r="I10" s="15" t="n"/>
      <c r="J10" s="16" t="n"/>
    </row>
    <row r="11">
      <c r="A11" s="15" t="n"/>
      <c r="B11" s="16" t="n"/>
      <c r="C11" s="16" t="n"/>
      <c r="D11" s="15" t="n"/>
      <c r="E11" s="15" t="n"/>
      <c r="F11" s="15">
        <f>IFERROR(VLOOKUP(D11, Config!A:B, 2, FALSE), "")</f>
        <v/>
      </c>
      <c r="G11" s="15">
        <f>IF(E11="", "", WORKDAY(E11, F11))</f>
        <v/>
      </c>
      <c r="H11" s="15" t="n"/>
      <c r="I11" s="15" t="n"/>
      <c r="J11" s="16" t="n"/>
    </row>
    <row r="12">
      <c r="A12" s="15" t="n"/>
      <c r="B12" s="16" t="n"/>
      <c r="C12" s="16" t="n"/>
      <c r="D12" s="15" t="n"/>
      <c r="E12" s="15" t="n"/>
      <c r="F12" s="15">
        <f>IFERROR(VLOOKUP(D12, Config!A:B, 2, FALSE), "")</f>
        <v/>
      </c>
      <c r="G12" s="15">
        <f>IF(E12="", "", WORKDAY(E12, F12))</f>
        <v/>
      </c>
      <c r="H12" s="15" t="n"/>
      <c r="I12" s="15" t="n"/>
      <c r="J12" s="16" t="n"/>
    </row>
    <row r="13">
      <c r="A13" s="15" t="n"/>
      <c r="B13" s="16" t="n"/>
      <c r="C13" s="16" t="n"/>
      <c r="D13" s="15" t="n"/>
      <c r="E13" s="15" t="n"/>
      <c r="F13" s="15">
        <f>IFERROR(VLOOKUP(D13, Config!A:B, 2, FALSE), "")</f>
        <v/>
      </c>
      <c r="G13" s="15">
        <f>IF(E13="", "", WORKDAY(E13, F13))</f>
        <v/>
      </c>
      <c r="H13" s="15" t="n"/>
      <c r="I13" s="15" t="n"/>
      <c r="J13" s="16" t="n"/>
    </row>
    <row r="14">
      <c r="A14" s="15" t="n"/>
      <c r="B14" s="16" t="n"/>
      <c r="C14" s="16" t="n"/>
      <c r="D14" s="15" t="n"/>
      <c r="E14" s="15" t="n"/>
      <c r="F14" s="15">
        <f>IFERROR(VLOOKUP(D14, Config!A:B, 2, FALSE), "")</f>
        <v/>
      </c>
      <c r="G14" s="15">
        <f>IF(E14="", "", WORKDAY(E14, F14))</f>
        <v/>
      </c>
      <c r="H14" s="15" t="n"/>
      <c r="I14" s="15" t="n"/>
      <c r="J14" s="16" t="n"/>
    </row>
    <row r="15">
      <c r="A15" s="15" t="n"/>
      <c r="B15" s="16" t="n"/>
      <c r="C15" s="16" t="n"/>
      <c r="D15" s="15" t="n"/>
      <c r="E15" s="15" t="n"/>
      <c r="F15" s="15">
        <f>IFERROR(VLOOKUP(D15, Config!A:B, 2, FALSE), "")</f>
        <v/>
      </c>
      <c r="G15" s="15">
        <f>IF(E15="", "", WORKDAY(E15, F15))</f>
        <v/>
      </c>
      <c r="H15" s="15" t="n"/>
      <c r="I15" s="15" t="n"/>
      <c r="J15" s="16" t="n"/>
    </row>
    <row r="16">
      <c r="A16" s="15" t="n"/>
      <c r="B16" s="16" t="n"/>
      <c r="C16" s="16" t="n"/>
      <c r="D16" s="15" t="n"/>
      <c r="E16" s="15" t="n"/>
      <c r="F16" s="15">
        <f>IFERROR(VLOOKUP(D16, Config!A:B, 2, FALSE), "")</f>
        <v/>
      </c>
      <c r="G16" s="15">
        <f>IF(E16="", "", WORKDAY(E16, F16))</f>
        <v/>
      </c>
      <c r="H16" s="15" t="n"/>
      <c r="I16" s="15" t="n"/>
      <c r="J16" s="16" t="n"/>
    </row>
    <row r="17">
      <c r="A17" s="15" t="n"/>
      <c r="B17" s="16" t="n"/>
      <c r="C17" s="16" t="n"/>
      <c r="D17" s="15" t="n"/>
      <c r="E17" s="15" t="n"/>
      <c r="F17" s="15">
        <f>IFERROR(VLOOKUP(D17, Config!A:B, 2, FALSE), "")</f>
        <v/>
      </c>
      <c r="G17" s="15">
        <f>IF(E17="", "", WORKDAY(E17, F17))</f>
        <v/>
      </c>
      <c r="H17" s="15" t="n"/>
      <c r="I17" s="15" t="n"/>
      <c r="J17" s="16" t="n"/>
    </row>
    <row r="18">
      <c r="A18" s="15" t="n"/>
      <c r="B18" s="16" t="n"/>
      <c r="C18" s="16" t="n"/>
      <c r="D18" s="15" t="n"/>
      <c r="E18" s="15" t="n"/>
      <c r="F18" s="15">
        <f>IFERROR(VLOOKUP(D18, Config!A:B, 2, FALSE), "")</f>
        <v/>
      </c>
      <c r="G18" s="15">
        <f>IF(E18="", "", WORKDAY(E18, F18))</f>
        <v/>
      </c>
      <c r="H18" s="15" t="n"/>
      <c r="I18" s="15" t="n"/>
      <c r="J18" s="16" t="n"/>
    </row>
    <row r="19">
      <c r="A19" s="15" t="n"/>
      <c r="B19" s="16" t="n"/>
      <c r="C19" s="16" t="n"/>
      <c r="D19" s="15" t="n"/>
      <c r="E19" s="15" t="n"/>
      <c r="F19" s="15">
        <f>IFERROR(VLOOKUP(D19, Config!A:B, 2, FALSE), "")</f>
        <v/>
      </c>
      <c r="G19" s="15">
        <f>IF(E19="", "", WORKDAY(E19, F19))</f>
        <v/>
      </c>
      <c r="H19" s="15" t="n"/>
      <c r="I19" s="15" t="n"/>
      <c r="J19" s="16" t="n"/>
    </row>
    <row r="20">
      <c r="A20" s="15" t="n"/>
      <c r="B20" s="16" t="n"/>
      <c r="C20" s="16" t="n"/>
      <c r="D20" s="15" t="n"/>
      <c r="E20" s="15" t="n"/>
      <c r="F20" s="15">
        <f>IFERROR(VLOOKUP(D20, Config!A:B, 2, FALSE), "")</f>
        <v/>
      </c>
      <c r="G20" s="15">
        <f>IF(E20="", "", WORKDAY(E20, F20))</f>
        <v/>
      </c>
      <c r="H20" s="15" t="n"/>
      <c r="I20" s="15" t="n"/>
      <c r="J20" s="16" t="n"/>
    </row>
    <row r="21">
      <c r="A21" s="15" t="n"/>
      <c r="B21" s="16" t="n"/>
      <c r="C21" s="16" t="n"/>
      <c r="D21" s="15" t="n"/>
      <c r="E21" s="15" t="n"/>
      <c r="F21" s="15">
        <f>IFERROR(VLOOKUP(D21, Config!A:B, 2, FALSE), "")</f>
        <v/>
      </c>
      <c r="G21" s="15">
        <f>IF(E21="", "", WORKDAY(E21, F21))</f>
        <v/>
      </c>
      <c r="H21" s="15" t="n"/>
      <c r="I21" s="15" t="n"/>
      <c r="J21" s="16" t="n"/>
    </row>
    <row r="22">
      <c r="A22" s="15" t="n"/>
      <c r="B22" s="16" t="n"/>
      <c r="C22" s="16" t="n"/>
      <c r="D22" s="15" t="n"/>
      <c r="E22" s="15" t="n"/>
      <c r="F22" s="15">
        <f>IFERROR(VLOOKUP(D22, Config!A:B, 2, FALSE), "")</f>
        <v/>
      </c>
      <c r="G22" s="15">
        <f>IF(E22="", "", WORKDAY(E22, F22))</f>
        <v/>
      </c>
      <c r="H22" s="15" t="n"/>
      <c r="I22" s="15" t="n"/>
      <c r="J22" s="16" t="n"/>
    </row>
    <row r="23">
      <c r="A23" s="15" t="n"/>
      <c r="B23" s="16" t="n"/>
      <c r="C23" s="16" t="n"/>
      <c r="D23" s="15" t="n"/>
      <c r="E23" s="15" t="n"/>
      <c r="F23" s="15">
        <f>IFERROR(VLOOKUP(D23, Config!A:B, 2, FALSE), "")</f>
        <v/>
      </c>
      <c r="G23" s="15">
        <f>IF(E23="", "", WORKDAY(E23, F23))</f>
        <v/>
      </c>
      <c r="H23" s="15" t="n"/>
      <c r="I23" s="15" t="n"/>
      <c r="J23" s="16" t="n"/>
    </row>
    <row r="24">
      <c r="A24" s="15" t="n"/>
      <c r="B24" s="16" t="n"/>
      <c r="C24" s="16" t="n"/>
      <c r="D24" s="15" t="n"/>
      <c r="E24" s="15" t="n"/>
      <c r="F24" s="15">
        <f>IFERROR(VLOOKUP(D24, Config!A:B, 2, FALSE), "")</f>
        <v/>
      </c>
      <c r="G24" s="15">
        <f>IF(E24="", "", WORKDAY(E24, F24))</f>
        <v/>
      </c>
      <c r="H24" s="15" t="n"/>
      <c r="I24" s="15" t="n"/>
      <c r="J24" s="16" t="n"/>
    </row>
    <row r="25">
      <c r="A25" s="15" t="n"/>
      <c r="B25" s="16" t="n"/>
      <c r="C25" s="16" t="n"/>
      <c r="D25" s="15" t="n"/>
      <c r="E25" s="15" t="n"/>
      <c r="F25" s="15">
        <f>IFERROR(VLOOKUP(D25, Config!A:B, 2, FALSE), "")</f>
        <v/>
      </c>
      <c r="G25" s="15">
        <f>IF(E25="", "", WORKDAY(E25, F25))</f>
        <v/>
      </c>
      <c r="H25" s="15" t="n"/>
      <c r="I25" s="15" t="n"/>
      <c r="J25" s="16" t="n"/>
    </row>
    <row r="26">
      <c r="A26" s="15" t="n"/>
      <c r="B26" s="16" t="n"/>
      <c r="C26" s="16" t="n"/>
      <c r="D26" s="15" t="n"/>
      <c r="E26" s="15" t="n"/>
      <c r="F26" s="15">
        <f>IFERROR(VLOOKUP(D26, Config!A:B, 2, FALSE), "")</f>
        <v/>
      </c>
      <c r="G26" s="15">
        <f>IF(E26="", "", WORKDAY(E26, F26))</f>
        <v/>
      </c>
      <c r="H26" s="15" t="n"/>
      <c r="I26" s="15" t="n"/>
      <c r="J26" s="16" t="n"/>
    </row>
    <row r="27">
      <c r="A27" s="15" t="n"/>
      <c r="B27" s="16" t="n"/>
      <c r="C27" s="16" t="n"/>
      <c r="D27" s="15" t="n"/>
      <c r="E27" s="15" t="n"/>
      <c r="F27" s="15">
        <f>IFERROR(VLOOKUP(D27, Config!A:B, 2, FALSE), "")</f>
        <v/>
      </c>
      <c r="G27" s="15">
        <f>IF(E27="", "", WORKDAY(E27, F27))</f>
        <v/>
      </c>
      <c r="H27" s="15" t="n"/>
      <c r="I27" s="15" t="n"/>
      <c r="J27" s="16" t="n"/>
    </row>
    <row r="28">
      <c r="A28" s="15" t="n"/>
      <c r="B28" s="16" t="n"/>
      <c r="C28" s="16" t="n"/>
      <c r="D28" s="15" t="n"/>
      <c r="E28" s="15" t="n"/>
      <c r="F28" s="15">
        <f>IFERROR(VLOOKUP(D28, Config!A:B, 2, FALSE), "")</f>
        <v/>
      </c>
      <c r="G28" s="15">
        <f>IF(E28="", "", WORKDAY(E28, F28))</f>
        <v/>
      </c>
      <c r="H28" s="15" t="n"/>
      <c r="I28" s="15" t="n"/>
      <c r="J28" s="16" t="n"/>
    </row>
    <row r="29">
      <c r="A29" s="15" t="n"/>
      <c r="B29" s="16" t="n"/>
      <c r="C29" s="16" t="n"/>
      <c r="D29" s="15" t="n"/>
      <c r="E29" s="15" t="n"/>
      <c r="F29" s="15">
        <f>IFERROR(VLOOKUP(D29, Config!A:B, 2, FALSE), "")</f>
        <v/>
      </c>
      <c r="G29" s="15">
        <f>IF(E29="", "", WORKDAY(E29, F29))</f>
        <v/>
      </c>
      <c r="H29" s="15" t="n"/>
      <c r="I29" s="15" t="n"/>
      <c r="J29" s="16" t="n"/>
    </row>
    <row r="30">
      <c r="A30" s="15" t="n"/>
      <c r="B30" s="16" t="n"/>
      <c r="C30" s="16" t="n"/>
      <c r="D30" s="15" t="n"/>
      <c r="E30" s="15" t="n"/>
      <c r="F30" s="15">
        <f>IFERROR(VLOOKUP(D30, Config!A:B, 2, FALSE), "")</f>
        <v/>
      </c>
      <c r="G30" s="15">
        <f>IF(E30="", "", WORKDAY(E30, F30))</f>
        <v/>
      </c>
      <c r="H30" s="15" t="n"/>
      <c r="I30" s="15" t="n"/>
      <c r="J30" s="16" t="n"/>
    </row>
    <row r="31">
      <c r="A31" s="15" t="n"/>
      <c r="B31" s="16" t="n"/>
      <c r="C31" s="16" t="n"/>
      <c r="D31" s="15" t="n"/>
      <c r="E31" s="15" t="n"/>
      <c r="F31" s="15">
        <f>IFERROR(VLOOKUP(D31, Config!A:B, 2, FALSE), "")</f>
        <v/>
      </c>
      <c r="G31" s="15">
        <f>IF(E31="", "", WORKDAY(E31, F31))</f>
        <v/>
      </c>
      <c r="H31" s="15" t="n"/>
      <c r="I31" s="15" t="n"/>
      <c r="J31" s="16" t="n"/>
    </row>
    <row r="32">
      <c r="A32" s="15" t="n"/>
      <c r="B32" s="16" t="n"/>
      <c r="C32" s="16" t="n"/>
      <c r="D32" s="15" t="n"/>
      <c r="E32" s="15" t="n"/>
      <c r="F32" s="15">
        <f>IFERROR(VLOOKUP(D32, Config!A:B, 2, FALSE), "")</f>
        <v/>
      </c>
      <c r="G32" s="15">
        <f>IF(E32="", "", WORKDAY(E32, F32))</f>
        <v/>
      </c>
      <c r="H32" s="15" t="n"/>
      <c r="I32" s="15" t="n"/>
      <c r="J32" s="16" t="n"/>
    </row>
    <row r="33">
      <c r="A33" s="15" t="n"/>
      <c r="B33" s="16" t="n"/>
      <c r="C33" s="16" t="n"/>
      <c r="D33" s="15" t="n"/>
      <c r="E33" s="15" t="n"/>
      <c r="F33" s="15">
        <f>IFERROR(VLOOKUP(D33, Config!A:B, 2, FALSE), "")</f>
        <v/>
      </c>
      <c r="G33" s="15">
        <f>IF(E33="", "", WORKDAY(E33, F33))</f>
        <v/>
      </c>
      <c r="H33" s="15" t="n"/>
      <c r="I33" s="15" t="n"/>
      <c r="J33" s="16" t="n"/>
    </row>
    <row r="34">
      <c r="A34" s="15" t="n"/>
      <c r="B34" s="16" t="n"/>
      <c r="C34" s="16" t="n"/>
      <c r="D34" s="15" t="n"/>
      <c r="E34" s="15" t="n"/>
      <c r="F34" s="15">
        <f>IFERROR(VLOOKUP(D34, Config!A:B, 2, FALSE), "")</f>
        <v/>
      </c>
      <c r="G34" s="15">
        <f>IF(E34="", "", WORKDAY(E34, F34))</f>
        <v/>
      </c>
      <c r="H34" s="15" t="n"/>
      <c r="I34" s="15" t="n"/>
      <c r="J34" s="16" t="n"/>
    </row>
    <row r="35">
      <c r="A35" s="15" t="n"/>
      <c r="B35" s="16" t="n"/>
      <c r="C35" s="16" t="n"/>
      <c r="D35" s="15" t="n"/>
      <c r="E35" s="15" t="n"/>
      <c r="F35" s="15">
        <f>IFERROR(VLOOKUP(D35, Config!A:B, 2, FALSE), "")</f>
        <v/>
      </c>
      <c r="G35" s="15">
        <f>IF(E35="", "", WORKDAY(E35, F35))</f>
        <v/>
      </c>
      <c r="H35" s="15" t="n"/>
      <c r="I35" s="15" t="n"/>
      <c r="J35" s="16" t="n"/>
    </row>
    <row r="36">
      <c r="A36" s="15" t="n"/>
      <c r="B36" s="16" t="n"/>
      <c r="C36" s="16" t="n"/>
      <c r="D36" s="15" t="n"/>
      <c r="E36" s="15" t="n"/>
      <c r="F36" s="15">
        <f>IFERROR(VLOOKUP(D36, Config!A:B, 2, FALSE), "")</f>
        <v/>
      </c>
      <c r="G36" s="15">
        <f>IF(E36="", "", WORKDAY(E36, F36))</f>
        <v/>
      </c>
      <c r="H36" s="15" t="n"/>
      <c r="I36" s="15" t="n"/>
      <c r="J36" s="16" t="n"/>
    </row>
    <row r="37">
      <c r="A37" s="15" t="n"/>
      <c r="B37" s="16" t="n"/>
      <c r="C37" s="16" t="n"/>
      <c r="D37" s="15" t="n"/>
      <c r="E37" s="15" t="n"/>
      <c r="F37" s="15">
        <f>IFERROR(VLOOKUP(D37, Config!A:B, 2, FALSE), "")</f>
        <v/>
      </c>
      <c r="G37" s="15">
        <f>IF(E37="", "", WORKDAY(E37, F37))</f>
        <v/>
      </c>
      <c r="H37" s="15" t="n"/>
      <c r="I37" s="15" t="n"/>
      <c r="J37" s="16" t="n"/>
    </row>
    <row r="38">
      <c r="A38" s="15" t="n"/>
      <c r="B38" s="16" t="n"/>
      <c r="C38" s="16" t="n"/>
      <c r="D38" s="15" t="n"/>
      <c r="E38" s="15" t="n"/>
      <c r="F38" s="15">
        <f>IFERROR(VLOOKUP(D38, Config!A:B, 2, FALSE), "")</f>
        <v/>
      </c>
      <c r="G38" s="15">
        <f>IF(E38="", "", WORKDAY(E38, F38))</f>
        <v/>
      </c>
      <c r="H38" s="15" t="n"/>
      <c r="I38" s="15" t="n"/>
      <c r="J38" s="16" t="n"/>
    </row>
    <row r="39">
      <c r="A39" s="15" t="n"/>
      <c r="B39" s="16" t="n"/>
      <c r="C39" s="16" t="n"/>
      <c r="D39" s="15" t="n"/>
      <c r="E39" s="15" t="n"/>
      <c r="F39" s="15">
        <f>IFERROR(VLOOKUP(D39, Config!A:B, 2, FALSE), "")</f>
        <v/>
      </c>
      <c r="G39" s="15">
        <f>IF(E39="", "", WORKDAY(E39, F39))</f>
        <v/>
      </c>
      <c r="H39" s="15" t="n"/>
      <c r="I39" s="15" t="n"/>
      <c r="J39" s="16" t="n"/>
    </row>
    <row r="40">
      <c r="A40" s="15" t="n"/>
      <c r="B40" s="16" t="n"/>
      <c r="C40" s="16" t="n"/>
      <c r="D40" s="15" t="n"/>
      <c r="E40" s="15" t="n"/>
      <c r="F40" s="15">
        <f>IFERROR(VLOOKUP(D40, Config!A:B, 2, FALSE), "")</f>
        <v/>
      </c>
      <c r="G40" s="15">
        <f>IF(E40="", "", WORKDAY(E40, F40))</f>
        <v/>
      </c>
      <c r="H40" s="15" t="n"/>
      <c r="I40" s="15" t="n"/>
      <c r="J40" s="16" t="n"/>
    </row>
    <row r="41">
      <c r="A41" s="15" t="n"/>
      <c r="B41" s="16" t="n"/>
      <c r="C41" s="16" t="n"/>
      <c r="D41" s="15" t="n"/>
      <c r="E41" s="15" t="n"/>
      <c r="F41" s="15">
        <f>IFERROR(VLOOKUP(D41, Config!A:B, 2, FALSE), "")</f>
        <v/>
      </c>
      <c r="G41" s="15">
        <f>IF(E41="", "", WORKDAY(E41, F41))</f>
        <v/>
      </c>
      <c r="H41" s="15" t="n"/>
      <c r="I41" s="15" t="n"/>
      <c r="J41" s="16" t="n"/>
    </row>
    <row r="42">
      <c r="A42" s="15" t="n"/>
      <c r="B42" s="16" t="n"/>
      <c r="C42" s="16" t="n"/>
      <c r="D42" s="15" t="n"/>
      <c r="E42" s="15" t="n"/>
      <c r="F42" s="15">
        <f>IFERROR(VLOOKUP(D42, Config!A:B, 2, FALSE), "")</f>
        <v/>
      </c>
      <c r="G42" s="15">
        <f>IF(E42="", "", WORKDAY(E42, F42))</f>
        <v/>
      </c>
      <c r="H42" s="15" t="n"/>
      <c r="I42" s="15" t="n"/>
      <c r="J42" s="16" t="n"/>
    </row>
    <row r="43">
      <c r="A43" s="15" t="n"/>
      <c r="B43" s="16" t="n"/>
      <c r="C43" s="16" t="n"/>
      <c r="D43" s="15" t="n"/>
      <c r="E43" s="15" t="n"/>
      <c r="F43" s="15">
        <f>IFERROR(VLOOKUP(D43, Config!A:B, 2, FALSE), "")</f>
        <v/>
      </c>
      <c r="G43" s="15">
        <f>IF(E43="", "", WORKDAY(E43, F43))</f>
        <v/>
      </c>
      <c r="H43" s="15" t="n"/>
      <c r="I43" s="15" t="n"/>
      <c r="J43" s="16" t="n"/>
    </row>
    <row r="44">
      <c r="A44" s="15" t="n"/>
      <c r="B44" s="16" t="n"/>
      <c r="C44" s="16" t="n"/>
      <c r="D44" s="15" t="n"/>
      <c r="E44" s="15" t="n"/>
      <c r="F44" s="15">
        <f>IFERROR(VLOOKUP(D44, Config!A:B, 2, FALSE), "")</f>
        <v/>
      </c>
      <c r="G44" s="15">
        <f>IF(E44="", "", WORKDAY(E44, F44))</f>
        <v/>
      </c>
      <c r="H44" s="15" t="n"/>
      <c r="I44" s="15" t="n"/>
      <c r="J44" s="16" t="n"/>
    </row>
    <row r="45">
      <c r="A45" s="15" t="n"/>
      <c r="B45" s="16" t="n"/>
      <c r="C45" s="16" t="n"/>
      <c r="D45" s="15" t="n"/>
      <c r="E45" s="15" t="n"/>
      <c r="F45" s="15">
        <f>IFERROR(VLOOKUP(D45, Config!A:B, 2, FALSE), "")</f>
        <v/>
      </c>
      <c r="G45" s="15">
        <f>IF(E45="", "", WORKDAY(E45, F45))</f>
        <v/>
      </c>
      <c r="H45" s="15" t="n"/>
      <c r="I45" s="15" t="n"/>
      <c r="J45" s="16" t="n"/>
    </row>
    <row r="46">
      <c r="A46" s="15" t="n"/>
      <c r="B46" s="16" t="n"/>
      <c r="C46" s="16" t="n"/>
      <c r="D46" s="15" t="n"/>
      <c r="E46" s="15" t="n"/>
      <c r="F46" s="15">
        <f>IFERROR(VLOOKUP(D46, Config!A:B, 2, FALSE), "")</f>
        <v/>
      </c>
      <c r="G46" s="15">
        <f>IF(E46="", "", WORKDAY(E46, F46))</f>
        <v/>
      </c>
      <c r="H46" s="15" t="n"/>
      <c r="I46" s="15" t="n"/>
      <c r="J46" s="16" t="n"/>
    </row>
    <row r="47">
      <c r="A47" s="15" t="n"/>
      <c r="B47" s="16" t="n"/>
      <c r="C47" s="16" t="n"/>
      <c r="D47" s="15" t="n"/>
      <c r="E47" s="15" t="n"/>
      <c r="F47" s="15">
        <f>IFERROR(VLOOKUP(D47, Config!A:B, 2, FALSE), "")</f>
        <v/>
      </c>
      <c r="G47" s="15">
        <f>IF(E47="", "", WORKDAY(E47, F47))</f>
        <v/>
      </c>
      <c r="H47" s="15" t="n"/>
      <c r="I47" s="15" t="n"/>
      <c r="J47" s="16" t="n"/>
    </row>
    <row r="48">
      <c r="A48" s="15" t="n"/>
      <c r="B48" s="16" t="n"/>
      <c r="C48" s="16" t="n"/>
      <c r="D48" s="15" t="n"/>
      <c r="E48" s="15" t="n"/>
      <c r="F48" s="15">
        <f>IFERROR(VLOOKUP(D48, Config!A:B, 2, FALSE), "")</f>
        <v/>
      </c>
      <c r="G48" s="15">
        <f>IF(E48="", "", WORKDAY(E48, F48))</f>
        <v/>
      </c>
      <c r="H48" s="15" t="n"/>
      <c r="I48" s="15" t="n"/>
      <c r="J48" s="16" t="n"/>
    </row>
    <row r="49">
      <c r="A49" s="15" t="n"/>
      <c r="B49" s="16" t="n"/>
      <c r="C49" s="16" t="n"/>
      <c r="D49" s="15" t="n"/>
      <c r="E49" s="15" t="n"/>
      <c r="F49" s="15">
        <f>IFERROR(VLOOKUP(D49, Config!A:B, 2, FALSE), "")</f>
        <v/>
      </c>
      <c r="G49" s="15">
        <f>IF(E49="", "", WORKDAY(E49, F49))</f>
        <v/>
      </c>
      <c r="H49" s="15" t="n"/>
      <c r="I49" s="15" t="n"/>
      <c r="J49" s="16" t="n"/>
    </row>
    <row r="50">
      <c r="A50" s="15" t="n"/>
      <c r="B50" s="16" t="n"/>
      <c r="C50" s="16" t="n"/>
      <c r="D50" s="15" t="n"/>
      <c r="E50" s="15" t="n"/>
      <c r="F50" s="15">
        <f>IFERROR(VLOOKUP(D50, Config!A:B, 2, FALSE), "")</f>
        <v/>
      </c>
      <c r="G50" s="15">
        <f>IF(E50="", "", WORKDAY(E50, F50))</f>
        <v/>
      </c>
      <c r="H50" s="15" t="n"/>
      <c r="I50" s="15" t="n"/>
      <c r="J50" s="16" t="n"/>
    </row>
    <row r="51">
      <c r="A51" s="15" t="n"/>
      <c r="B51" s="16" t="n"/>
      <c r="C51" s="16" t="n"/>
      <c r="D51" s="15" t="n"/>
      <c r="E51" s="15" t="n"/>
      <c r="F51" s="15">
        <f>IFERROR(VLOOKUP(D51, Config!A:B, 2, FALSE), "")</f>
        <v/>
      </c>
      <c r="G51" s="15">
        <f>IF(E51="", "", WORKDAY(E51, F51))</f>
        <v/>
      </c>
      <c r="H51" s="15" t="n"/>
      <c r="I51" s="15" t="n"/>
      <c r="J51" s="16" t="n"/>
    </row>
    <row r="52">
      <c r="A52" s="15" t="n"/>
      <c r="B52" s="16" t="n"/>
      <c r="C52" s="16" t="n"/>
      <c r="D52" s="15" t="n"/>
      <c r="E52" s="15" t="n"/>
      <c r="F52" s="15">
        <f>IFERROR(VLOOKUP(D52, Config!A:B, 2, FALSE), "")</f>
        <v/>
      </c>
      <c r="G52" s="15">
        <f>IF(E52="", "", WORKDAY(E52, F52))</f>
        <v/>
      </c>
      <c r="H52" s="15" t="n"/>
      <c r="I52" s="15" t="n"/>
      <c r="J52" s="16" t="n"/>
    </row>
    <row r="53">
      <c r="A53" s="15" t="n"/>
      <c r="B53" s="16" t="n"/>
      <c r="C53" s="16" t="n"/>
      <c r="D53" s="15" t="n"/>
      <c r="E53" s="15" t="n"/>
      <c r="F53" s="15">
        <f>IFERROR(VLOOKUP(D53, Config!A:B, 2, FALSE), "")</f>
        <v/>
      </c>
      <c r="G53" s="15">
        <f>IF(E53="", "", WORKDAY(E53, F53))</f>
        <v/>
      </c>
      <c r="H53" s="15" t="n"/>
      <c r="I53" s="15" t="n"/>
      <c r="J53" s="16" t="n"/>
    </row>
    <row r="54">
      <c r="A54" s="15" t="n"/>
      <c r="B54" s="16" t="n"/>
      <c r="C54" s="16" t="n"/>
      <c r="D54" s="15" t="n"/>
      <c r="E54" s="15" t="n"/>
      <c r="F54" s="15">
        <f>IFERROR(VLOOKUP(D54, Config!A:B, 2, FALSE), "")</f>
        <v/>
      </c>
      <c r="G54" s="15">
        <f>IF(E54="", "", WORKDAY(E54, F54))</f>
        <v/>
      </c>
      <c r="H54" s="15" t="n"/>
      <c r="I54" s="15" t="n"/>
      <c r="J54" s="16" t="n"/>
    </row>
    <row r="55">
      <c r="A55" s="15" t="n"/>
      <c r="B55" s="16" t="n"/>
      <c r="C55" s="16" t="n"/>
      <c r="D55" s="15" t="n"/>
      <c r="E55" s="15" t="n"/>
      <c r="F55" s="15">
        <f>IFERROR(VLOOKUP(D55, Config!A:B, 2, FALSE), "")</f>
        <v/>
      </c>
      <c r="G55" s="15">
        <f>IF(E55="", "", WORKDAY(E55, F55))</f>
        <v/>
      </c>
      <c r="H55" s="15" t="n"/>
      <c r="I55" s="15" t="n"/>
      <c r="J55" s="16" t="n"/>
    </row>
    <row r="56">
      <c r="A56" s="15" t="n"/>
      <c r="B56" s="16" t="n"/>
      <c r="C56" s="16" t="n"/>
      <c r="D56" s="15" t="n"/>
      <c r="E56" s="15" t="n"/>
      <c r="F56" s="15">
        <f>IFERROR(VLOOKUP(D56, Config!A:B, 2, FALSE), "")</f>
        <v/>
      </c>
      <c r="G56" s="15">
        <f>IF(E56="", "", WORKDAY(E56, F56))</f>
        <v/>
      </c>
      <c r="H56" s="15" t="n"/>
      <c r="I56" s="15" t="n"/>
      <c r="J56" s="16" t="n"/>
    </row>
    <row r="57">
      <c r="A57" s="15" t="n"/>
      <c r="B57" s="16" t="n"/>
      <c r="C57" s="16" t="n"/>
      <c r="D57" s="15" t="n"/>
      <c r="E57" s="15" t="n"/>
      <c r="F57" s="15">
        <f>IFERROR(VLOOKUP(D57, Config!A:B, 2, FALSE), "")</f>
        <v/>
      </c>
      <c r="G57" s="15">
        <f>IF(E57="", "", WORKDAY(E57, F57))</f>
        <v/>
      </c>
      <c r="H57" s="15" t="n"/>
      <c r="I57" s="15" t="n"/>
      <c r="J57" s="16" t="n"/>
    </row>
    <row r="58">
      <c r="A58" s="15" t="n"/>
      <c r="B58" s="16" t="n"/>
      <c r="C58" s="16" t="n"/>
      <c r="D58" s="15" t="n"/>
      <c r="E58" s="15" t="n"/>
      <c r="F58" s="15">
        <f>IFERROR(VLOOKUP(D58, Config!A:B, 2, FALSE), "")</f>
        <v/>
      </c>
      <c r="G58" s="15">
        <f>IF(E58="", "", WORKDAY(E58, F58))</f>
        <v/>
      </c>
      <c r="H58" s="15" t="n"/>
      <c r="I58" s="15" t="n"/>
      <c r="J58" s="16" t="n"/>
    </row>
    <row r="59">
      <c r="A59" s="15" t="n"/>
      <c r="B59" s="16" t="n"/>
      <c r="C59" s="16" t="n"/>
      <c r="D59" s="15" t="n"/>
      <c r="E59" s="15" t="n"/>
      <c r="F59" s="15">
        <f>IFERROR(VLOOKUP(D59, Config!A:B, 2, FALSE), "")</f>
        <v/>
      </c>
      <c r="G59" s="15">
        <f>IF(E59="", "", WORKDAY(E59, F59))</f>
        <v/>
      </c>
      <c r="H59" s="15" t="n"/>
      <c r="I59" s="15" t="n"/>
      <c r="J59" s="16" t="n"/>
    </row>
    <row r="60">
      <c r="A60" s="15" t="n"/>
      <c r="B60" s="16" t="n"/>
      <c r="C60" s="16" t="n"/>
      <c r="D60" s="15" t="n"/>
      <c r="E60" s="15" t="n"/>
      <c r="F60" s="15">
        <f>IFERROR(VLOOKUP(D60, Config!A:B, 2, FALSE), "")</f>
        <v/>
      </c>
      <c r="G60" s="15">
        <f>IF(E60="", "", WORKDAY(E60, F60))</f>
        <v/>
      </c>
      <c r="H60" s="15" t="n"/>
      <c r="I60" s="15" t="n"/>
      <c r="J60" s="16" t="n"/>
    </row>
    <row r="61">
      <c r="A61" s="15" t="n"/>
      <c r="B61" s="16" t="n"/>
      <c r="C61" s="16" t="n"/>
      <c r="D61" s="15" t="n"/>
      <c r="E61" s="15" t="n"/>
      <c r="F61" s="15">
        <f>IFERROR(VLOOKUP(D61, Config!A:B, 2, FALSE), "")</f>
        <v/>
      </c>
      <c r="G61" s="15">
        <f>IF(E61="", "", WORKDAY(E61, F61))</f>
        <v/>
      </c>
      <c r="H61" s="15" t="n"/>
      <c r="I61" s="15" t="n"/>
      <c r="J61" s="16" t="n"/>
    </row>
    <row r="62">
      <c r="A62" s="15" t="n"/>
      <c r="B62" s="16" t="n"/>
      <c r="C62" s="16" t="n"/>
      <c r="D62" s="15" t="n"/>
      <c r="E62" s="15" t="n"/>
      <c r="F62" s="15">
        <f>IFERROR(VLOOKUP(D62, Config!A:B, 2, FALSE), "")</f>
        <v/>
      </c>
      <c r="G62" s="15">
        <f>IF(E62="", "", WORKDAY(E62, F62))</f>
        <v/>
      </c>
      <c r="H62" s="15" t="n"/>
      <c r="I62" s="15" t="n"/>
      <c r="J62" s="16" t="n"/>
    </row>
    <row r="63">
      <c r="A63" s="15" t="n"/>
      <c r="B63" s="16" t="n"/>
      <c r="C63" s="16" t="n"/>
      <c r="D63" s="15" t="n"/>
      <c r="E63" s="15" t="n"/>
      <c r="F63" s="15">
        <f>IFERROR(VLOOKUP(D63, Config!A:B, 2, FALSE), "")</f>
        <v/>
      </c>
      <c r="G63" s="15">
        <f>IF(E63="", "", WORKDAY(E63, F63))</f>
        <v/>
      </c>
      <c r="H63" s="15" t="n"/>
      <c r="I63" s="15" t="n"/>
      <c r="J63" s="16" t="n"/>
    </row>
    <row r="64">
      <c r="A64" s="15" t="n"/>
      <c r="B64" s="16" t="n"/>
      <c r="C64" s="16" t="n"/>
      <c r="D64" s="15" t="n"/>
      <c r="E64" s="15" t="n"/>
      <c r="F64" s="15">
        <f>IFERROR(VLOOKUP(D64, Config!A:B, 2, FALSE), "")</f>
        <v/>
      </c>
      <c r="G64" s="15">
        <f>IF(E64="", "", WORKDAY(E64, F64))</f>
        <v/>
      </c>
      <c r="H64" s="15" t="n"/>
      <c r="I64" s="15" t="n"/>
      <c r="J64" s="16" t="n"/>
    </row>
    <row r="65">
      <c r="A65" s="15" t="n"/>
      <c r="B65" s="16" t="n"/>
      <c r="C65" s="16" t="n"/>
      <c r="D65" s="15" t="n"/>
      <c r="E65" s="15" t="n"/>
      <c r="F65" s="15">
        <f>IFERROR(VLOOKUP(D65, Config!A:B, 2, FALSE), "")</f>
        <v/>
      </c>
      <c r="G65" s="15">
        <f>IF(E65="", "", WORKDAY(E65, F65))</f>
        <v/>
      </c>
      <c r="H65" s="15" t="n"/>
      <c r="I65" s="15" t="n"/>
      <c r="J65" s="16" t="n"/>
    </row>
    <row r="66">
      <c r="A66" s="15" t="n"/>
      <c r="B66" s="16" t="n"/>
      <c r="C66" s="16" t="n"/>
      <c r="D66" s="15" t="n"/>
      <c r="E66" s="15" t="n"/>
      <c r="F66" s="15">
        <f>IFERROR(VLOOKUP(D66, Config!A:B, 2, FALSE), "")</f>
        <v/>
      </c>
      <c r="G66" s="15">
        <f>IF(E66="", "", WORKDAY(E66, F66))</f>
        <v/>
      </c>
      <c r="H66" s="15" t="n"/>
      <c r="I66" s="15" t="n"/>
      <c r="J66" s="16" t="n"/>
    </row>
    <row r="67">
      <c r="A67" s="15" t="n"/>
      <c r="B67" s="16" t="n"/>
      <c r="C67" s="16" t="n"/>
      <c r="D67" s="15" t="n"/>
      <c r="E67" s="15" t="n"/>
      <c r="F67" s="15">
        <f>IFERROR(VLOOKUP(D67, Config!A:B, 2, FALSE), "")</f>
        <v/>
      </c>
      <c r="G67" s="15">
        <f>IF(E67="", "", WORKDAY(E67, F67))</f>
        <v/>
      </c>
      <c r="H67" s="15" t="n"/>
      <c r="I67" s="15" t="n"/>
      <c r="J67" s="16" t="n"/>
    </row>
    <row r="68">
      <c r="A68" s="15" t="n"/>
      <c r="B68" s="16" t="n"/>
      <c r="C68" s="16" t="n"/>
      <c r="D68" s="15" t="n"/>
      <c r="E68" s="15" t="n"/>
      <c r="F68" s="15">
        <f>IFERROR(VLOOKUP(D68, Config!A:B, 2, FALSE), "")</f>
        <v/>
      </c>
      <c r="G68" s="15">
        <f>IF(E68="", "", WORKDAY(E68, F68))</f>
        <v/>
      </c>
      <c r="H68" s="15" t="n"/>
      <c r="I68" s="15" t="n"/>
      <c r="J68" s="16" t="n"/>
    </row>
    <row r="69">
      <c r="A69" s="15" t="n"/>
      <c r="B69" s="16" t="n"/>
      <c r="C69" s="16" t="n"/>
      <c r="D69" s="15" t="n"/>
      <c r="E69" s="15" t="n"/>
      <c r="F69" s="15">
        <f>IFERROR(VLOOKUP(D69, Config!A:B, 2, FALSE), "")</f>
        <v/>
      </c>
      <c r="G69" s="15">
        <f>IF(E69="", "", WORKDAY(E69, F69))</f>
        <v/>
      </c>
      <c r="H69" s="15" t="n"/>
      <c r="I69" s="15" t="n"/>
      <c r="J69" s="16" t="n"/>
    </row>
    <row r="70">
      <c r="A70" s="15" t="n"/>
      <c r="B70" s="16" t="n"/>
      <c r="C70" s="16" t="n"/>
      <c r="D70" s="15" t="n"/>
      <c r="E70" s="15" t="n"/>
      <c r="F70" s="15">
        <f>IFERROR(VLOOKUP(D70, Config!A:B, 2, FALSE), "")</f>
        <v/>
      </c>
      <c r="G70" s="15">
        <f>IF(E70="", "", WORKDAY(E70, F70))</f>
        <v/>
      </c>
      <c r="H70" s="15" t="n"/>
      <c r="I70" s="15" t="n"/>
      <c r="J70" s="16" t="n"/>
    </row>
    <row r="71">
      <c r="A71" s="15" t="n"/>
      <c r="B71" s="16" t="n"/>
      <c r="C71" s="16" t="n"/>
      <c r="D71" s="15" t="n"/>
      <c r="E71" s="15" t="n"/>
      <c r="F71" s="15">
        <f>IFERROR(VLOOKUP(D71, Config!A:B, 2, FALSE), "")</f>
        <v/>
      </c>
      <c r="G71" s="15">
        <f>IF(E71="", "", WORKDAY(E71, F71))</f>
        <v/>
      </c>
      <c r="H71" s="15" t="n"/>
      <c r="I71" s="15" t="n"/>
      <c r="J71" s="16" t="n"/>
    </row>
    <row r="72">
      <c r="A72" s="15" t="n"/>
      <c r="B72" s="16" t="n"/>
      <c r="C72" s="16" t="n"/>
      <c r="D72" s="15" t="n"/>
      <c r="E72" s="15" t="n"/>
      <c r="F72" s="15">
        <f>IFERROR(VLOOKUP(D72, Config!A:B, 2, FALSE), "")</f>
        <v/>
      </c>
      <c r="G72" s="15">
        <f>IF(E72="", "", WORKDAY(E72, F72))</f>
        <v/>
      </c>
      <c r="H72" s="15" t="n"/>
      <c r="I72" s="15" t="n"/>
      <c r="J72" s="16" t="n"/>
    </row>
    <row r="73">
      <c r="A73" s="15" t="n"/>
      <c r="B73" s="16" t="n"/>
      <c r="C73" s="16" t="n"/>
      <c r="D73" s="15" t="n"/>
      <c r="E73" s="15" t="n"/>
      <c r="F73" s="15">
        <f>IFERROR(VLOOKUP(D73, Config!A:B, 2, FALSE), "")</f>
        <v/>
      </c>
      <c r="G73" s="15">
        <f>IF(E73="", "", WORKDAY(E73, F73))</f>
        <v/>
      </c>
      <c r="H73" s="15" t="n"/>
      <c r="I73" s="15" t="n"/>
      <c r="J73" s="16" t="n"/>
    </row>
    <row r="74">
      <c r="A74" s="15" t="n"/>
      <c r="B74" s="16" t="n"/>
      <c r="C74" s="16" t="n"/>
      <c r="D74" s="15" t="n"/>
      <c r="E74" s="15" t="n"/>
      <c r="F74" s="15">
        <f>IFERROR(VLOOKUP(D74, Config!A:B, 2, FALSE), "")</f>
        <v/>
      </c>
      <c r="G74" s="15">
        <f>IF(E74="", "", WORKDAY(E74, F74))</f>
        <v/>
      </c>
      <c r="H74" s="15" t="n"/>
      <c r="I74" s="15" t="n"/>
      <c r="J74" s="16" t="n"/>
    </row>
    <row r="75">
      <c r="A75" s="15" t="n"/>
      <c r="B75" s="16" t="n"/>
      <c r="C75" s="16" t="n"/>
      <c r="D75" s="15" t="n"/>
      <c r="E75" s="15" t="n"/>
      <c r="F75" s="15">
        <f>IFERROR(VLOOKUP(D75, Config!A:B, 2, FALSE), "")</f>
        <v/>
      </c>
      <c r="G75" s="15">
        <f>IF(E75="", "", WORKDAY(E75, F75))</f>
        <v/>
      </c>
      <c r="H75" s="15" t="n"/>
      <c r="I75" s="15" t="n"/>
      <c r="J75" s="16" t="n"/>
    </row>
    <row r="76">
      <c r="A76" s="15" t="n"/>
      <c r="B76" s="16" t="n"/>
      <c r="C76" s="16" t="n"/>
      <c r="D76" s="15" t="n"/>
      <c r="E76" s="15" t="n"/>
      <c r="F76" s="15">
        <f>IFERROR(VLOOKUP(D76, Config!A:B, 2, FALSE), "")</f>
        <v/>
      </c>
      <c r="G76" s="15">
        <f>IF(E76="", "", WORKDAY(E76, F76))</f>
        <v/>
      </c>
      <c r="H76" s="15" t="n"/>
      <c r="I76" s="15" t="n"/>
      <c r="J76" s="16" t="n"/>
    </row>
    <row r="77">
      <c r="A77" s="15" t="n"/>
      <c r="B77" s="16" t="n"/>
      <c r="C77" s="16" t="n"/>
      <c r="D77" s="15" t="n"/>
      <c r="E77" s="15" t="n"/>
      <c r="F77" s="15">
        <f>IFERROR(VLOOKUP(D77, Config!A:B, 2, FALSE), "")</f>
        <v/>
      </c>
      <c r="G77" s="15">
        <f>IF(E77="", "", WORKDAY(E77, F77))</f>
        <v/>
      </c>
      <c r="H77" s="15" t="n"/>
      <c r="I77" s="15" t="n"/>
      <c r="J77" s="16" t="n"/>
    </row>
    <row r="78">
      <c r="A78" s="15" t="n"/>
      <c r="B78" s="16" t="n"/>
      <c r="C78" s="16" t="n"/>
      <c r="D78" s="15" t="n"/>
      <c r="E78" s="15" t="n"/>
      <c r="F78" s="15">
        <f>IFERROR(VLOOKUP(D78, Config!A:B, 2, FALSE), "")</f>
        <v/>
      </c>
      <c r="G78" s="15">
        <f>IF(E78="", "", WORKDAY(E78, F78))</f>
        <v/>
      </c>
      <c r="H78" s="15" t="n"/>
      <c r="I78" s="15" t="n"/>
      <c r="J78" s="16" t="n"/>
    </row>
    <row r="79">
      <c r="A79" s="15" t="n"/>
      <c r="B79" s="16" t="n"/>
      <c r="C79" s="16" t="n"/>
      <c r="D79" s="15" t="n"/>
      <c r="E79" s="15" t="n"/>
      <c r="F79" s="15">
        <f>IFERROR(VLOOKUP(D79, Config!A:B, 2, FALSE), "")</f>
        <v/>
      </c>
      <c r="G79" s="15">
        <f>IF(E79="", "", WORKDAY(E79, F79))</f>
        <v/>
      </c>
      <c r="H79" s="15" t="n"/>
      <c r="I79" s="15" t="n"/>
      <c r="J79" s="16" t="n"/>
    </row>
    <row r="80">
      <c r="A80" s="15" t="n"/>
      <c r="B80" s="16" t="n"/>
      <c r="C80" s="16" t="n"/>
      <c r="D80" s="15" t="n"/>
      <c r="E80" s="15" t="n"/>
      <c r="F80" s="15">
        <f>IFERROR(VLOOKUP(D80, Config!A:B, 2, FALSE), "")</f>
        <v/>
      </c>
      <c r="G80" s="15">
        <f>IF(E80="", "", WORKDAY(E80, F80))</f>
        <v/>
      </c>
      <c r="H80" s="15" t="n"/>
      <c r="I80" s="15" t="n"/>
      <c r="J80" s="16" t="n"/>
    </row>
    <row r="81">
      <c r="A81" s="15" t="n"/>
      <c r="B81" s="16" t="n"/>
      <c r="C81" s="16" t="n"/>
      <c r="D81" s="15" t="n"/>
      <c r="E81" s="15" t="n"/>
      <c r="F81" s="15">
        <f>IFERROR(VLOOKUP(D81, Config!A:B, 2, FALSE), "")</f>
        <v/>
      </c>
      <c r="G81" s="15">
        <f>IF(E81="", "", WORKDAY(E81, F81))</f>
        <v/>
      </c>
      <c r="H81" s="15" t="n"/>
      <c r="I81" s="15" t="n"/>
      <c r="J81" s="16" t="n"/>
    </row>
    <row r="82">
      <c r="A82" s="15" t="n"/>
      <c r="B82" s="16" t="n"/>
      <c r="C82" s="16" t="n"/>
      <c r="D82" s="15" t="n"/>
      <c r="E82" s="15" t="n"/>
      <c r="F82" s="15">
        <f>IFERROR(VLOOKUP(D82, Config!A:B, 2, FALSE), "")</f>
        <v/>
      </c>
      <c r="G82" s="15">
        <f>IF(E82="", "", WORKDAY(E82, F82))</f>
        <v/>
      </c>
      <c r="H82" s="15" t="n"/>
      <c r="I82" s="15" t="n"/>
      <c r="J82" s="16" t="n"/>
    </row>
    <row r="83">
      <c r="A83" s="15" t="n"/>
      <c r="B83" s="16" t="n"/>
      <c r="C83" s="16" t="n"/>
      <c r="D83" s="15" t="n"/>
      <c r="E83" s="15" t="n"/>
      <c r="F83" s="15">
        <f>IFERROR(VLOOKUP(D83, Config!A:B, 2, FALSE), "")</f>
        <v/>
      </c>
      <c r="G83" s="15">
        <f>IF(E83="", "", WORKDAY(E83, F83))</f>
        <v/>
      </c>
      <c r="H83" s="15" t="n"/>
      <c r="I83" s="15" t="n"/>
      <c r="J83" s="16" t="n"/>
    </row>
    <row r="84">
      <c r="A84" s="15" t="n"/>
      <c r="B84" s="16" t="n"/>
      <c r="C84" s="16" t="n"/>
      <c r="D84" s="15" t="n"/>
      <c r="E84" s="15" t="n"/>
      <c r="F84" s="15">
        <f>IFERROR(VLOOKUP(D84, Config!A:B, 2, FALSE), "")</f>
        <v/>
      </c>
      <c r="G84" s="15">
        <f>IF(E84="", "", WORKDAY(E84, F84))</f>
        <v/>
      </c>
      <c r="H84" s="15" t="n"/>
      <c r="I84" s="15" t="n"/>
      <c r="J84" s="16" t="n"/>
    </row>
    <row r="85">
      <c r="A85" s="15" t="n"/>
      <c r="B85" s="16" t="n"/>
      <c r="C85" s="16" t="n"/>
      <c r="D85" s="15" t="n"/>
      <c r="E85" s="15" t="n"/>
      <c r="F85" s="15">
        <f>IFERROR(VLOOKUP(D85, Config!A:B, 2, FALSE), "")</f>
        <v/>
      </c>
      <c r="G85" s="15">
        <f>IF(E85="", "", WORKDAY(E85, F85))</f>
        <v/>
      </c>
      <c r="H85" s="15" t="n"/>
      <c r="I85" s="15" t="n"/>
      <c r="J85" s="16" t="n"/>
    </row>
    <row r="86">
      <c r="A86" s="15" t="n"/>
      <c r="B86" s="16" t="n"/>
      <c r="C86" s="16" t="n"/>
      <c r="D86" s="15" t="n"/>
      <c r="E86" s="15" t="n"/>
      <c r="F86" s="15">
        <f>IFERROR(VLOOKUP(D86, Config!A:B, 2, FALSE), "")</f>
        <v/>
      </c>
      <c r="G86" s="15">
        <f>IF(E86="", "", WORKDAY(E86, F86))</f>
        <v/>
      </c>
      <c r="H86" s="15" t="n"/>
      <c r="I86" s="15" t="n"/>
      <c r="J86" s="16" t="n"/>
    </row>
    <row r="87">
      <c r="A87" s="15" t="n"/>
      <c r="B87" s="16" t="n"/>
      <c r="C87" s="16" t="n"/>
      <c r="D87" s="15" t="n"/>
      <c r="E87" s="15" t="n"/>
      <c r="F87" s="15">
        <f>IFERROR(VLOOKUP(D87, Config!A:B, 2, FALSE), "")</f>
        <v/>
      </c>
      <c r="G87" s="15">
        <f>IF(E87="", "", WORKDAY(E87, F87))</f>
        <v/>
      </c>
      <c r="H87" s="15" t="n"/>
      <c r="I87" s="15" t="n"/>
      <c r="J87" s="16" t="n"/>
    </row>
    <row r="88">
      <c r="A88" s="15" t="n"/>
      <c r="B88" s="16" t="n"/>
      <c r="C88" s="16" t="n"/>
      <c r="D88" s="15" t="n"/>
      <c r="E88" s="15" t="n"/>
      <c r="F88" s="15">
        <f>IFERROR(VLOOKUP(D88, Config!A:B, 2, FALSE), "")</f>
        <v/>
      </c>
      <c r="G88" s="15">
        <f>IF(E88="", "", WORKDAY(E88, F88))</f>
        <v/>
      </c>
      <c r="H88" s="15" t="n"/>
      <c r="I88" s="15" t="n"/>
      <c r="J88" s="16" t="n"/>
    </row>
    <row r="89">
      <c r="A89" s="15" t="n"/>
      <c r="B89" s="16" t="n"/>
      <c r="C89" s="16" t="n"/>
      <c r="D89" s="15" t="n"/>
      <c r="E89" s="15" t="n"/>
      <c r="F89" s="15">
        <f>IFERROR(VLOOKUP(D89, Config!A:B, 2, FALSE), "")</f>
        <v/>
      </c>
      <c r="G89" s="15">
        <f>IF(E89="", "", WORKDAY(E89, F89))</f>
        <v/>
      </c>
      <c r="H89" s="15" t="n"/>
      <c r="I89" s="15" t="n"/>
      <c r="J89" s="16" t="n"/>
    </row>
    <row r="90">
      <c r="A90" s="15" t="n"/>
      <c r="B90" s="16" t="n"/>
      <c r="C90" s="16" t="n"/>
      <c r="D90" s="15" t="n"/>
      <c r="E90" s="15" t="n"/>
      <c r="F90" s="15">
        <f>IFERROR(VLOOKUP(D90, Config!A:B, 2, FALSE), "")</f>
        <v/>
      </c>
      <c r="G90" s="15">
        <f>IF(E90="", "", WORKDAY(E90, F90))</f>
        <v/>
      </c>
      <c r="H90" s="15" t="n"/>
      <c r="I90" s="15" t="n"/>
      <c r="J90" s="16" t="n"/>
    </row>
    <row r="91">
      <c r="A91" s="15" t="n"/>
      <c r="B91" s="16" t="n"/>
      <c r="C91" s="16" t="n"/>
      <c r="D91" s="15" t="n"/>
      <c r="E91" s="15" t="n"/>
      <c r="F91" s="15">
        <f>IFERROR(VLOOKUP(D91, Config!A:B, 2, FALSE), "")</f>
        <v/>
      </c>
      <c r="G91" s="15">
        <f>IF(E91="", "", WORKDAY(E91, F91))</f>
        <v/>
      </c>
      <c r="H91" s="15" t="n"/>
      <c r="I91" s="15" t="n"/>
      <c r="J91" s="16" t="n"/>
    </row>
    <row r="92">
      <c r="A92" s="15" t="n"/>
      <c r="B92" s="16" t="n"/>
      <c r="C92" s="16" t="n"/>
      <c r="D92" s="15" t="n"/>
      <c r="E92" s="15" t="n"/>
      <c r="F92" s="15">
        <f>IFERROR(VLOOKUP(D92, Config!A:B, 2, FALSE), "")</f>
        <v/>
      </c>
      <c r="G92" s="15">
        <f>IF(E92="", "", WORKDAY(E92, F92))</f>
        <v/>
      </c>
      <c r="H92" s="15" t="n"/>
      <c r="I92" s="15" t="n"/>
      <c r="J92" s="16" t="n"/>
    </row>
    <row r="93">
      <c r="A93" s="15" t="n"/>
      <c r="B93" s="16" t="n"/>
      <c r="C93" s="16" t="n"/>
      <c r="D93" s="15" t="n"/>
      <c r="E93" s="15" t="n"/>
      <c r="F93" s="15">
        <f>IFERROR(VLOOKUP(D93, Config!A:B, 2, FALSE), "")</f>
        <v/>
      </c>
      <c r="G93" s="15">
        <f>IF(E93="", "", WORKDAY(E93, F93))</f>
        <v/>
      </c>
      <c r="H93" s="15" t="n"/>
      <c r="I93" s="15" t="n"/>
      <c r="J93" s="16" t="n"/>
    </row>
    <row r="94">
      <c r="A94" s="15" t="n"/>
      <c r="B94" s="16" t="n"/>
      <c r="C94" s="16" t="n"/>
      <c r="D94" s="15" t="n"/>
      <c r="E94" s="15" t="n"/>
      <c r="F94" s="15">
        <f>IFERROR(VLOOKUP(D94, Config!A:B, 2, FALSE), "")</f>
        <v/>
      </c>
      <c r="G94" s="15">
        <f>IF(E94="", "", WORKDAY(E94, F94))</f>
        <v/>
      </c>
      <c r="H94" s="15" t="n"/>
      <c r="I94" s="15" t="n"/>
      <c r="J94" s="16" t="n"/>
    </row>
    <row r="95">
      <c r="A95" s="15" t="n"/>
      <c r="B95" s="16" t="n"/>
      <c r="C95" s="16" t="n"/>
      <c r="D95" s="15" t="n"/>
      <c r="E95" s="15" t="n"/>
      <c r="F95" s="15">
        <f>IFERROR(VLOOKUP(D95, Config!A:B, 2, FALSE), "")</f>
        <v/>
      </c>
      <c r="G95" s="15">
        <f>IF(E95="", "", WORKDAY(E95, F95))</f>
        <v/>
      </c>
      <c r="H95" s="15" t="n"/>
      <c r="I95" s="15" t="n"/>
      <c r="J95" s="16" t="n"/>
    </row>
    <row r="96">
      <c r="A96" s="15" t="n"/>
      <c r="B96" s="16" t="n"/>
      <c r="C96" s="16" t="n"/>
      <c r="D96" s="15" t="n"/>
      <c r="E96" s="15" t="n"/>
      <c r="F96" s="15">
        <f>IFERROR(VLOOKUP(D96, Config!A:B, 2, FALSE), "")</f>
        <v/>
      </c>
      <c r="G96" s="15">
        <f>IF(E96="", "", WORKDAY(E96, F96))</f>
        <v/>
      </c>
      <c r="H96" s="15" t="n"/>
      <c r="I96" s="15" t="n"/>
      <c r="J96" s="16" t="n"/>
    </row>
    <row r="97">
      <c r="A97" s="15" t="n"/>
      <c r="B97" s="16" t="n"/>
      <c r="C97" s="16" t="n"/>
      <c r="D97" s="15" t="n"/>
      <c r="E97" s="15" t="n"/>
      <c r="F97" s="15">
        <f>IFERROR(VLOOKUP(D97, Config!A:B, 2, FALSE), "")</f>
        <v/>
      </c>
      <c r="G97" s="15">
        <f>IF(E97="", "", WORKDAY(E97, F97))</f>
        <v/>
      </c>
      <c r="H97" s="15" t="n"/>
      <c r="I97" s="15" t="n"/>
      <c r="J97" s="16" t="n"/>
    </row>
    <row r="98">
      <c r="A98" s="15" t="n"/>
      <c r="B98" s="16" t="n"/>
      <c r="C98" s="16" t="n"/>
      <c r="D98" s="15" t="n"/>
      <c r="E98" s="15" t="n"/>
      <c r="F98" s="15">
        <f>IFERROR(VLOOKUP(D98, Config!A:B, 2, FALSE), "")</f>
        <v/>
      </c>
      <c r="G98" s="15">
        <f>IF(E98="", "", WORKDAY(E98, F98))</f>
        <v/>
      </c>
      <c r="H98" s="15" t="n"/>
      <c r="I98" s="15" t="n"/>
      <c r="J98" s="16" t="n"/>
    </row>
    <row r="99">
      <c r="A99" s="15" t="n"/>
      <c r="B99" s="16" t="n"/>
      <c r="C99" s="16" t="n"/>
      <c r="D99" s="15" t="n"/>
      <c r="E99" s="15" t="n"/>
      <c r="F99" s="15">
        <f>IFERROR(VLOOKUP(D99, Config!A:B, 2, FALSE), "")</f>
        <v/>
      </c>
      <c r="G99" s="15">
        <f>IF(E99="", "", WORKDAY(E99, F99))</f>
        <v/>
      </c>
      <c r="H99" s="15" t="n"/>
      <c r="I99" s="15" t="n"/>
      <c r="J99" s="16" t="n"/>
    </row>
    <row r="100">
      <c r="A100" s="15" t="n"/>
      <c r="B100" s="16" t="n"/>
      <c r="C100" s="16" t="n"/>
      <c r="D100" s="15" t="n"/>
      <c r="E100" s="15" t="n"/>
      <c r="F100" s="15">
        <f>IFERROR(VLOOKUP(D100, Config!A:B, 2, FALSE), "")</f>
        <v/>
      </c>
      <c r="G100" s="15">
        <f>IF(E100="", "", WORKDAY(E100, F100))</f>
        <v/>
      </c>
      <c r="H100" s="15" t="n"/>
      <c r="I100" s="15" t="n"/>
      <c r="J100" s="16" t="n"/>
    </row>
  </sheetData>
  <conditionalFormatting sqref="D2:D1000">
    <cfRule type="cellIs" priority="1" operator="equal" dxfId="3">
      <formula>"Baixa"</formula>
    </cfRule>
    <cfRule type="cellIs" priority="2" operator="equal" dxfId="4">
      <formula>"Média"</formula>
    </cfRule>
    <cfRule type="cellIs" priority="3" operator="equal" dxfId="5">
      <formula>"Alta"</formula>
    </cfRule>
  </conditionalFormatting>
  <conditionalFormatting sqref="H2:H1000">
    <cfRule type="cellIs" priority="4" operator="equal" dxfId="3">
      <formula>"Finalizada"</formula>
    </cfRule>
  </conditionalFormatting>
  <dataValidations count="2">
    <dataValidation sqref="D2:D1000" showDropDown="1" showInputMessage="0" showErrorMessage="0" allowBlank="0" type="list">
      <formula1>"Baixa,Média,Alta"</formula1>
    </dataValidation>
    <dataValidation sqref="H2:H1000" showDropDown="1" showInputMessage="0" showErrorMessage="0" allowBlank="0" type="list">
      <formula1>"Pendente,Em Andamento,Finalizada"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25" customWidth="1" min="10" max="10"/>
  </cols>
  <sheetData>
    <row r="1">
      <c r="A1" s="14" t="inlineStr">
        <is>
          <t>ID</t>
        </is>
      </c>
      <c r="B1" s="14" t="inlineStr">
        <is>
          <t>Cliente</t>
        </is>
      </c>
      <c r="C1" s="14" t="inlineStr">
        <is>
          <t>Tipo de Ação</t>
        </is>
      </c>
      <c r="D1" s="14" t="inlineStr">
        <is>
          <t>Complexidade</t>
        </is>
      </c>
      <c r="E1" s="14" t="inlineStr">
        <is>
          <t>Data Envio Doc</t>
        </is>
      </c>
      <c r="F1" s="14" t="inlineStr">
        <is>
          <t>Prazo (Dias)</t>
        </is>
      </c>
      <c r="G1" s="14" t="inlineStr">
        <is>
          <t>Prazo Fatal</t>
        </is>
      </c>
      <c r="H1" s="14" t="inlineStr">
        <is>
          <t>Status</t>
        </is>
      </c>
      <c r="I1" s="14" t="inlineStr">
        <is>
          <t>Data Protocolo</t>
        </is>
      </c>
      <c r="J1" s="14" t="inlineStr">
        <is>
          <t>Advogado Responsável</t>
        </is>
      </c>
    </row>
    <row r="2">
      <c r="A2" s="15" t="n"/>
      <c r="B2" s="16" t="n"/>
      <c r="C2" s="16" t="n"/>
      <c r="D2" s="15" t="n"/>
      <c r="E2" s="15" t="n"/>
      <c r="F2" s="15">
        <f>IFERROR(VLOOKUP(D2, Config!A:B, 2, FALSE), "")</f>
        <v/>
      </c>
      <c r="G2" s="15">
        <f>IF(E2="", "", WORKDAY(E2, F2))</f>
        <v/>
      </c>
      <c r="H2" s="15" t="n"/>
      <c r="I2" s="15" t="n"/>
      <c r="J2" s="16" t="n"/>
    </row>
    <row r="3">
      <c r="A3" s="15" t="n"/>
      <c r="B3" s="16" t="n"/>
      <c r="C3" s="16" t="n"/>
      <c r="D3" s="15" t="n"/>
      <c r="E3" s="15" t="n"/>
      <c r="F3" s="15">
        <f>IFERROR(VLOOKUP(D3, Config!A:B, 2, FALSE), "")</f>
        <v/>
      </c>
      <c r="G3" s="15">
        <f>IF(E3="", "", WORKDAY(E3, F3))</f>
        <v/>
      </c>
      <c r="H3" s="15" t="n"/>
      <c r="I3" s="15" t="n"/>
      <c r="J3" s="16" t="n"/>
    </row>
    <row r="4">
      <c r="A4" s="15" t="n"/>
      <c r="B4" s="16" t="n"/>
      <c r="C4" s="16" t="n"/>
      <c r="D4" s="15" t="n"/>
      <c r="E4" s="15" t="n"/>
      <c r="F4" s="15">
        <f>IFERROR(VLOOKUP(D4, Config!A:B, 2, FALSE), "")</f>
        <v/>
      </c>
      <c r="G4" s="15">
        <f>IF(E4="", "", WORKDAY(E4, F4))</f>
        <v/>
      </c>
      <c r="H4" s="15" t="n"/>
      <c r="I4" s="15" t="n"/>
      <c r="J4" s="16" t="n"/>
    </row>
    <row r="5">
      <c r="A5" s="15" t="n"/>
      <c r="B5" s="16" t="n"/>
      <c r="C5" s="16" t="n"/>
      <c r="D5" s="15" t="n"/>
      <c r="E5" s="15" t="n"/>
      <c r="F5" s="15">
        <f>IFERROR(VLOOKUP(D5, Config!A:B, 2, FALSE), "")</f>
        <v/>
      </c>
      <c r="G5" s="15">
        <f>IF(E5="", "", WORKDAY(E5, F5))</f>
        <v/>
      </c>
      <c r="H5" s="15" t="n"/>
      <c r="I5" s="15" t="n"/>
      <c r="J5" s="16" t="n"/>
    </row>
    <row r="6">
      <c r="A6" s="15" t="n"/>
      <c r="B6" s="16" t="n"/>
      <c r="C6" s="16" t="n"/>
      <c r="D6" s="15" t="n"/>
      <c r="E6" s="15" t="n"/>
      <c r="F6" s="15">
        <f>IFERROR(VLOOKUP(D6, Config!A:B, 2, FALSE), "")</f>
        <v/>
      </c>
      <c r="G6" s="15">
        <f>IF(E6="", "", WORKDAY(E6, F6))</f>
        <v/>
      </c>
      <c r="H6" s="15" t="n"/>
      <c r="I6" s="15" t="n"/>
      <c r="J6" s="16" t="n"/>
    </row>
    <row r="7">
      <c r="A7" s="15" t="n"/>
      <c r="B7" s="16" t="n"/>
      <c r="C7" s="16" t="n"/>
      <c r="D7" s="15" t="n"/>
      <c r="E7" s="15" t="n"/>
      <c r="F7" s="15">
        <f>IFERROR(VLOOKUP(D7, Config!A:B, 2, FALSE), "")</f>
        <v/>
      </c>
      <c r="G7" s="15">
        <f>IF(E7="", "", WORKDAY(E7, F7))</f>
        <v/>
      </c>
      <c r="H7" s="15" t="n"/>
      <c r="I7" s="15" t="n"/>
      <c r="J7" s="16" t="n"/>
    </row>
    <row r="8">
      <c r="A8" s="15" t="n"/>
      <c r="B8" s="16" t="n"/>
      <c r="C8" s="16" t="n"/>
      <c r="D8" s="15" t="n"/>
      <c r="E8" s="15" t="n"/>
      <c r="F8" s="15">
        <f>IFERROR(VLOOKUP(D8, Config!A:B, 2, FALSE), "")</f>
        <v/>
      </c>
      <c r="G8" s="15">
        <f>IF(E8="", "", WORKDAY(E8, F8))</f>
        <v/>
      </c>
      <c r="H8" s="15" t="n"/>
      <c r="I8" s="15" t="n"/>
      <c r="J8" s="16" t="n"/>
    </row>
    <row r="9">
      <c r="A9" s="15" t="n"/>
      <c r="B9" s="16" t="n"/>
      <c r="C9" s="16" t="n"/>
      <c r="D9" s="15" t="n"/>
      <c r="E9" s="15" t="n"/>
      <c r="F9" s="15">
        <f>IFERROR(VLOOKUP(D9, Config!A:B, 2, FALSE), "")</f>
        <v/>
      </c>
      <c r="G9" s="15">
        <f>IF(E9="", "", WORKDAY(E9, F9))</f>
        <v/>
      </c>
      <c r="H9" s="15" t="n"/>
      <c r="I9" s="15" t="n"/>
      <c r="J9" s="16" t="n"/>
    </row>
    <row r="10">
      <c r="A10" s="15" t="n"/>
      <c r="B10" s="16" t="n"/>
      <c r="C10" s="16" t="n"/>
      <c r="D10" s="15" t="n"/>
      <c r="E10" s="15" t="n"/>
      <c r="F10" s="15">
        <f>IFERROR(VLOOKUP(D10, Config!A:B, 2, FALSE), "")</f>
        <v/>
      </c>
      <c r="G10" s="15">
        <f>IF(E10="", "", WORKDAY(E10, F10))</f>
        <v/>
      </c>
      <c r="H10" s="15" t="n"/>
      <c r="I10" s="15" t="n"/>
      <c r="J10" s="16" t="n"/>
    </row>
    <row r="11">
      <c r="A11" s="15" t="n"/>
      <c r="B11" s="16" t="n"/>
      <c r="C11" s="16" t="n"/>
      <c r="D11" s="15" t="n"/>
      <c r="E11" s="15" t="n"/>
      <c r="F11" s="15">
        <f>IFERROR(VLOOKUP(D11, Config!A:B, 2, FALSE), "")</f>
        <v/>
      </c>
      <c r="G11" s="15">
        <f>IF(E11="", "", WORKDAY(E11, F11))</f>
        <v/>
      </c>
      <c r="H11" s="15" t="n"/>
      <c r="I11" s="15" t="n"/>
      <c r="J11" s="16" t="n"/>
    </row>
    <row r="12">
      <c r="A12" s="15" t="n"/>
      <c r="B12" s="16" t="n"/>
      <c r="C12" s="16" t="n"/>
      <c r="D12" s="15" t="n"/>
      <c r="E12" s="15" t="n"/>
      <c r="F12" s="15">
        <f>IFERROR(VLOOKUP(D12, Config!A:B, 2, FALSE), "")</f>
        <v/>
      </c>
      <c r="G12" s="15">
        <f>IF(E12="", "", WORKDAY(E12, F12))</f>
        <v/>
      </c>
      <c r="H12" s="15" t="n"/>
      <c r="I12" s="15" t="n"/>
      <c r="J12" s="16" t="n"/>
    </row>
    <row r="13">
      <c r="A13" s="15" t="n"/>
      <c r="B13" s="16" t="n"/>
      <c r="C13" s="16" t="n"/>
      <c r="D13" s="15" t="n"/>
      <c r="E13" s="15" t="n"/>
      <c r="F13" s="15">
        <f>IFERROR(VLOOKUP(D13, Config!A:B, 2, FALSE), "")</f>
        <v/>
      </c>
      <c r="G13" s="15">
        <f>IF(E13="", "", WORKDAY(E13, F13))</f>
        <v/>
      </c>
      <c r="H13" s="15" t="n"/>
      <c r="I13" s="15" t="n"/>
      <c r="J13" s="16" t="n"/>
    </row>
    <row r="14">
      <c r="A14" s="15" t="n"/>
      <c r="B14" s="16" t="n"/>
      <c r="C14" s="16" t="n"/>
      <c r="D14" s="15" t="n"/>
      <c r="E14" s="15" t="n"/>
      <c r="F14" s="15">
        <f>IFERROR(VLOOKUP(D14, Config!A:B, 2, FALSE), "")</f>
        <v/>
      </c>
      <c r="G14" s="15">
        <f>IF(E14="", "", WORKDAY(E14, F14))</f>
        <v/>
      </c>
      <c r="H14" s="15" t="n"/>
      <c r="I14" s="15" t="n"/>
      <c r="J14" s="16" t="n"/>
    </row>
    <row r="15">
      <c r="A15" s="15" t="n"/>
      <c r="B15" s="16" t="n"/>
      <c r="C15" s="16" t="n"/>
      <c r="D15" s="15" t="n"/>
      <c r="E15" s="15" t="n"/>
      <c r="F15" s="15">
        <f>IFERROR(VLOOKUP(D15, Config!A:B, 2, FALSE), "")</f>
        <v/>
      </c>
      <c r="G15" s="15">
        <f>IF(E15="", "", WORKDAY(E15, F15))</f>
        <v/>
      </c>
      <c r="H15" s="15" t="n"/>
      <c r="I15" s="15" t="n"/>
      <c r="J15" s="16" t="n"/>
    </row>
    <row r="16">
      <c r="A16" s="15" t="n"/>
      <c r="B16" s="16" t="n"/>
      <c r="C16" s="16" t="n"/>
      <c r="D16" s="15" t="n"/>
      <c r="E16" s="15" t="n"/>
      <c r="F16" s="15">
        <f>IFERROR(VLOOKUP(D16, Config!A:B, 2, FALSE), "")</f>
        <v/>
      </c>
      <c r="G16" s="15">
        <f>IF(E16="", "", WORKDAY(E16, F16))</f>
        <v/>
      </c>
      <c r="H16" s="15" t="n"/>
      <c r="I16" s="15" t="n"/>
      <c r="J16" s="16" t="n"/>
    </row>
    <row r="17">
      <c r="A17" s="15" t="n"/>
      <c r="B17" s="16" t="n"/>
      <c r="C17" s="16" t="n"/>
      <c r="D17" s="15" t="n"/>
      <c r="E17" s="15" t="n"/>
      <c r="F17" s="15">
        <f>IFERROR(VLOOKUP(D17, Config!A:B, 2, FALSE), "")</f>
        <v/>
      </c>
      <c r="G17" s="15">
        <f>IF(E17="", "", WORKDAY(E17, F17))</f>
        <v/>
      </c>
      <c r="H17" s="15" t="n"/>
      <c r="I17" s="15" t="n"/>
      <c r="J17" s="16" t="n"/>
    </row>
    <row r="18">
      <c r="A18" s="15" t="n"/>
      <c r="B18" s="16" t="n"/>
      <c r="C18" s="16" t="n"/>
      <c r="D18" s="15" t="n"/>
      <c r="E18" s="15" t="n"/>
      <c r="F18" s="15">
        <f>IFERROR(VLOOKUP(D18, Config!A:B, 2, FALSE), "")</f>
        <v/>
      </c>
      <c r="G18" s="15">
        <f>IF(E18="", "", WORKDAY(E18, F18))</f>
        <v/>
      </c>
      <c r="H18" s="15" t="n"/>
      <c r="I18" s="15" t="n"/>
      <c r="J18" s="16" t="n"/>
    </row>
    <row r="19">
      <c r="A19" s="15" t="n"/>
      <c r="B19" s="16" t="n"/>
      <c r="C19" s="16" t="n"/>
      <c r="D19" s="15" t="n"/>
      <c r="E19" s="15" t="n"/>
      <c r="F19" s="15">
        <f>IFERROR(VLOOKUP(D19, Config!A:B, 2, FALSE), "")</f>
        <v/>
      </c>
      <c r="G19" s="15">
        <f>IF(E19="", "", WORKDAY(E19, F19))</f>
        <v/>
      </c>
      <c r="H19" s="15" t="n"/>
      <c r="I19" s="15" t="n"/>
      <c r="J19" s="16" t="n"/>
    </row>
    <row r="20">
      <c r="A20" s="15" t="n"/>
      <c r="B20" s="16" t="n"/>
      <c r="C20" s="16" t="n"/>
      <c r="D20" s="15" t="n"/>
      <c r="E20" s="15" t="n"/>
      <c r="F20" s="15">
        <f>IFERROR(VLOOKUP(D20, Config!A:B, 2, FALSE), "")</f>
        <v/>
      </c>
      <c r="G20" s="15">
        <f>IF(E20="", "", WORKDAY(E20, F20))</f>
        <v/>
      </c>
      <c r="H20" s="15" t="n"/>
      <c r="I20" s="15" t="n"/>
      <c r="J20" s="16" t="n"/>
    </row>
    <row r="21">
      <c r="A21" s="15" t="n"/>
      <c r="B21" s="16" t="n"/>
      <c r="C21" s="16" t="n"/>
      <c r="D21" s="15" t="n"/>
      <c r="E21" s="15" t="n"/>
      <c r="F21" s="15">
        <f>IFERROR(VLOOKUP(D21, Config!A:B, 2, FALSE), "")</f>
        <v/>
      </c>
      <c r="G21" s="15">
        <f>IF(E21="", "", WORKDAY(E21, F21))</f>
        <v/>
      </c>
      <c r="H21" s="15" t="n"/>
      <c r="I21" s="15" t="n"/>
      <c r="J21" s="16" t="n"/>
    </row>
    <row r="22">
      <c r="A22" s="15" t="n"/>
      <c r="B22" s="16" t="n"/>
      <c r="C22" s="16" t="n"/>
      <c r="D22" s="15" t="n"/>
      <c r="E22" s="15" t="n"/>
      <c r="F22" s="15">
        <f>IFERROR(VLOOKUP(D22, Config!A:B, 2, FALSE), "")</f>
        <v/>
      </c>
      <c r="G22" s="15">
        <f>IF(E22="", "", WORKDAY(E22, F22))</f>
        <v/>
      </c>
      <c r="H22" s="15" t="n"/>
      <c r="I22" s="15" t="n"/>
      <c r="J22" s="16" t="n"/>
    </row>
    <row r="23">
      <c r="A23" s="15" t="n"/>
      <c r="B23" s="16" t="n"/>
      <c r="C23" s="16" t="n"/>
      <c r="D23" s="15" t="n"/>
      <c r="E23" s="15" t="n"/>
      <c r="F23" s="15">
        <f>IFERROR(VLOOKUP(D23, Config!A:B, 2, FALSE), "")</f>
        <v/>
      </c>
      <c r="G23" s="15">
        <f>IF(E23="", "", WORKDAY(E23, F23))</f>
        <v/>
      </c>
      <c r="H23" s="15" t="n"/>
      <c r="I23" s="15" t="n"/>
      <c r="J23" s="16" t="n"/>
    </row>
    <row r="24">
      <c r="A24" s="15" t="n"/>
      <c r="B24" s="16" t="n"/>
      <c r="C24" s="16" t="n"/>
      <c r="D24" s="15" t="n"/>
      <c r="E24" s="15" t="n"/>
      <c r="F24" s="15">
        <f>IFERROR(VLOOKUP(D24, Config!A:B, 2, FALSE), "")</f>
        <v/>
      </c>
      <c r="G24" s="15">
        <f>IF(E24="", "", WORKDAY(E24, F24))</f>
        <v/>
      </c>
      <c r="H24" s="15" t="n"/>
      <c r="I24" s="15" t="n"/>
      <c r="J24" s="16" t="n"/>
    </row>
    <row r="25">
      <c r="A25" s="15" t="n"/>
      <c r="B25" s="16" t="n"/>
      <c r="C25" s="16" t="n"/>
      <c r="D25" s="15" t="n"/>
      <c r="E25" s="15" t="n"/>
      <c r="F25" s="15">
        <f>IFERROR(VLOOKUP(D25, Config!A:B, 2, FALSE), "")</f>
        <v/>
      </c>
      <c r="G25" s="15">
        <f>IF(E25="", "", WORKDAY(E25, F25))</f>
        <v/>
      </c>
      <c r="H25" s="15" t="n"/>
      <c r="I25" s="15" t="n"/>
      <c r="J25" s="16" t="n"/>
    </row>
    <row r="26">
      <c r="A26" s="15" t="n"/>
      <c r="B26" s="16" t="n"/>
      <c r="C26" s="16" t="n"/>
      <c r="D26" s="15" t="n"/>
      <c r="E26" s="15" t="n"/>
      <c r="F26" s="15">
        <f>IFERROR(VLOOKUP(D26, Config!A:B, 2, FALSE), "")</f>
        <v/>
      </c>
      <c r="G26" s="15">
        <f>IF(E26="", "", WORKDAY(E26, F26))</f>
        <v/>
      </c>
      <c r="H26" s="15" t="n"/>
      <c r="I26" s="15" t="n"/>
      <c r="J26" s="16" t="n"/>
    </row>
    <row r="27">
      <c r="A27" s="15" t="n"/>
      <c r="B27" s="16" t="n"/>
      <c r="C27" s="16" t="n"/>
      <c r="D27" s="15" t="n"/>
      <c r="E27" s="15" t="n"/>
      <c r="F27" s="15">
        <f>IFERROR(VLOOKUP(D27, Config!A:B, 2, FALSE), "")</f>
        <v/>
      </c>
      <c r="G27" s="15">
        <f>IF(E27="", "", WORKDAY(E27, F27))</f>
        <v/>
      </c>
      <c r="H27" s="15" t="n"/>
      <c r="I27" s="15" t="n"/>
      <c r="J27" s="16" t="n"/>
    </row>
    <row r="28">
      <c r="A28" s="15" t="n"/>
      <c r="B28" s="16" t="n"/>
      <c r="C28" s="16" t="n"/>
      <c r="D28" s="15" t="n"/>
      <c r="E28" s="15" t="n"/>
      <c r="F28" s="15">
        <f>IFERROR(VLOOKUP(D28, Config!A:B, 2, FALSE), "")</f>
        <v/>
      </c>
      <c r="G28" s="15">
        <f>IF(E28="", "", WORKDAY(E28, F28))</f>
        <v/>
      </c>
      <c r="H28" s="15" t="n"/>
      <c r="I28" s="15" t="n"/>
      <c r="J28" s="16" t="n"/>
    </row>
    <row r="29">
      <c r="A29" s="15" t="n"/>
      <c r="B29" s="16" t="n"/>
      <c r="C29" s="16" t="n"/>
      <c r="D29" s="15" t="n"/>
      <c r="E29" s="15" t="n"/>
      <c r="F29" s="15">
        <f>IFERROR(VLOOKUP(D29, Config!A:B, 2, FALSE), "")</f>
        <v/>
      </c>
      <c r="G29" s="15">
        <f>IF(E29="", "", WORKDAY(E29, F29))</f>
        <v/>
      </c>
      <c r="H29" s="15" t="n"/>
      <c r="I29" s="15" t="n"/>
      <c r="J29" s="16" t="n"/>
    </row>
    <row r="30">
      <c r="A30" s="15" t="n"/>
      <c r="B30" s="16" t="n"/>
      <c r="C30" s="16" t="n"/>
      <c r="D30" s="15" t="n"/>
      <c r="E30" s="15" t="n"/>
      <c r="F30" s="15">
        <f>IFERROR(VLOOKUP(D30, Config!A:B, 2, FALSE), "")</f>
        <v/>
      </c>
      <c r="G30" s="15">
        <f>IF(E30="", "", WORKDAY(E30, F30))</f>
        <v/>
      </c>
      <c r="H30" s="15" t="n"/>
      <c r="I30" s="15" t="n"/>
      <c r="J30" s="16" t="n"/>
    </row>
    <row r="31">
      <c r="A31" s="15" t="n"/>
      <c r="B31" s="16" t="n"/>
      <c r="C31" s="16" t="n"/>
      <c r="D31" s="15" t="n"/>
      <c r="E31" s="15" t="n"/>
      <c r="F31" s="15">
        <f>IFERROR(VLOOKUP(D31, Config!A:B, 2, FALSE), "")</f>
        <v/>
      </c>
      <c r="G31" s="15">
        <f>IF(E31="", "", WORKDAY(E31, F31))</f>
        <v/>
      </c>
      <c r="H31" s="15" t="n"/>
      <c r="I31" s="15" t="n"/>
      <c r="J31" s="16" t="n"/>
    </row>
    <row r="32">
      <c r="A32" s="15" t="n"/>
      <c r="B32" s="16" t="n"/>
      <c r="C32" s="16" t="n"/>
      <c r="D32" s="15" t="n"/>
      <c r="E32" s="15" t="n"/>
      <c r="F32" s="15">
        <f>IFERROR(VLOOKUP(D32, Config!A:B, 2, FALSE), "")</f>
        <v/>
      </c>
      <c r="G32" s="15">
        <f>IF(E32="", "", WORKDAY(E32, F32))</f>
        <v/>
      </c>
      <c r="H32" s="15" t="n"/>
      <c r="I32" s="15" t="n"/>
      <c r="J32" s="16" t="n"/>
    </row>
    <row r="33">
      <c r="A33" s="15" t="n"/>
      <c r="B33" s="16" t="n"/>
      <c r="C33" s="16" t="n"/>
      <c r="D33" s="15" t="n"/>
      <c r="E33" s="15" t="n"/>
      <c r="F33" s="15">
        <f>IFERROR(VLOOKUP(D33, Config!A:B, 2, FALSE), "")</f>
        <v/>
      </c>
      <c r="G33" s="15">
        <f>IF(E33="", "", WORKDAY(E33, F33))</f>
        <v/>
      </c>
      <c r="H33" s="15" t="n"/>
      <c r="I33" s="15" t="n"/>
      <c r="J33" s="16" t="n"/>
    </row>
    <row r="34">
      <c r="A34" s="15" t="n"/>
      <c r="B34" s="16" t="n"/>
      <c r="C34" s="16" t="n"/>
      <c r="D34" s="15" t="n"/>
      <c r="E34" s="15" t="n"/>
      <c r="F34" s="15">
        <f>IFERROR(VLOOKUP(D34, Config!A:B, 2, FALSE), "")</f>
        <v/>
      </c>
      <c r="G34" s="15">
        <f>IF(E34="", "", WORKDAY(E34, F34))</f>
        <v/>
      </c>
      <c r="H34" s="15" t="n"/>
      <c r="I34" s="15" t="n"/>
      <c r="J34" s="16" t="n"/>
    </row>
    <row r="35">
      <c r="A35" s="15" t="n"/>
      <c r="B35" s="16" t="n"/>
      <c r="C35" s="16" t="n"/>
      <c r="D35" s="15" t="n"/>
      <c r="E35" s="15" t="n"/>
      <c r="F35" s="15">
        <f>IFERROR(VLOOKUP(D35, Config!A:B, 2, FALSE), "")</f>
        <v/>
      </c>
      <c r="G35" s="15">
        <f>IF(E35="", "", WORKDAY(E35, F35))</f>
        <v/>
      </c>
      <c r="H35" s="15" t="n"/>
      <c r="I35" s="15" t="n"/>
      <c r="J35" s="16" t="n"/>
    </row>
    <row r="36">
      <c r="A36" s="15" t="n"/>
      <c r="B36" s="16" t="n"/>
      <c r="C36" s="16" t="n"/>
      <c r="D36" s="15" t="n"/>
      <c r="E36" s="15" t="n"/>
      <c r="F36" s="15">
        <f>IFERROR(VLOOKUP(D36, Config!A:B, 2, FALSE), "")</f>
        <v/>
      </c>
      <c r="G36" s="15">
        <f>IF(E36="", "", WORKDAY(E36, F36))</f>
        <v/>
      </c>
      <c r="H36" s="15" t="n"/>
      <c r="I36" s="15" t="n"/>
      <c r="J36" s="16" t="n"/>
    </row>
    <row r="37">
      <c r="A37" s="15" t="n"/>
      <c r="B37" s="16" t="n"/>
      <c r="C37" s="16" t="n"/>
      <c r="D37" s="15" t="n"/>
      <c r="E37" s="15" t="n"/>
      <c r="F37" s="15">
        <f>IFERROR(VLOOKUP(D37, Config!A:B, 2, FALSE), "")</f>
        <v/>
      </c>
      <c r="G37" s="15">
        <f>IF(E37="", "", WORKDAY(E37, F37))</f>
        <v/>
      </c>
      <c r="H37" s="15" t="n"/>
      <c r="I37" s="15" t="n"/>
      <c r="J37" s="16" t="n"/>
    </row>
    <row r="38">
      <c r="A38" s="15" t="n"/>
      <c r="B38" s="16" t="n"/>
      <c r="C38" s="16" t="n"/>
      <c r="D38" s="15" t="n"/>
      <c r="E38" s="15" t="n"/>
      <c r="F38" s="15">
        <f>IFERROR(VLOOKUP(D38, Config!A:B, 2, FALSE), "")</f>
        <v/>
      </c>
      <c r="G38" s="15">
        <f>IF(E38="", "", WORKDAY(E38, F38))</f>
        <v/>
      </c>
      <c r="H38" s="15" t="n"/>
      <c r="I38" s="15" t="n"/>
      <c r="J38" s="16" t="n"/>
    </row>
    <row r="39">
      <c r="A39" s="15" t="n"/>
      <c r="B39" s="16" t="n"/>
      <c r="C39" s="16" t="n"/>
      <c r="D39" s="15" t="n"/>
      <c r="E39" s="15" t="n"/>
      <c r="F39" s="15">
        <f>IFERROR(VLOOKUP(D39, Config!A:B, 2, FALSE), "")</f>
        <v/>
      </c>
      <c r="G39" s="15">
        <f>IF(E39="", "", WORKDAY(E39, F39))</f>
        <v/>
      </c>
      <c r="H39" s="15" t="n"/>
      <c r="I39" s="15" t="n"/>
      <c r="J39" s="16" t="n"/>
    </row>
    <row r="40">
      <c r="A40" s="15" t="n"/>
      <c r="B40" s="16" t="n"/>
      <c r="C40" s="16" t="n"/>
      <c r="D40" s="15" t="n"/>
      <c r="E40" s="15" t="n"/>
      <c r="F40" s="15">
        <f>IFERROR(VLOOKUP(D40, Config!A:B, 2, FALSE), "")</f>
        <v/>
      </c>
      <c r="G40" s="15">
        <f>IF(E40="", "", WORKDAY(E40, F40))</f>
        <v/>
      </c>
      <c r="H40" s="15" t="n"/>
      <c r="I40" s="15" t="n"/>
      <c r="J40" s="16" t="n"/>
    </row>
    <row r="41">
      <c r="A41" s="15" t="n"/>
      <c r="B41" s="16" t="n"/>
      <c r="C41" s="16" t="n"/>
      <c r="D41" s="15" t="n"/>
      <c r="E41" s="15" t="n"/>
      <c r="F41" s="15">
        <f>IFERROR(VLOOKUP(D41, Config!A:B, 2, FALSE), "")</f>
        <v/>
      </c>
      <c r="G41" s="15">
        <f>IF(E41="", "", WORKDAY(E41, F41))</f>
        <v/>
      </c>
      <c r="H41" s="15" t="n"/>
      <c r="I41" s="15" t="n"/>
      <c r="J41" s="16" t="n"/>
    </row>
    <row r="42">
      <c r="A42" s="15" t="n"/>
      <c r="B42" s="16" t="n"/>
      <c r="C42" s="16" t="n"/>
      <c r="D42" s="15" t="n"/>
      <c r="E42" s="15" t="n"/>
      <c r="F42" s="15">
        <f>IFERROR(VLOOKUP(D42, Config!A:B, 2, FALSE), "")</f>
        <v/>
      </c>
      <c r="G42" s="15">
        <f>IF(E42="", "", WORKDAY(E42, F42))</f>
        <v/>
      </c>
      <c r="H42" s="15" t="n"/>
      <c r="I42" s="15" t="n"/>
      <c r="J42" s="16" t="n"/>
    </row>
    <row r="43">
      <c r="A43" s="15" t="n"/>
      <c r="B43" s="16" t="n"/>
      <c r="C43" s="16" t="n"/>
      <c r="D43" s="15" t="n"/>
      <c r="E43" s="15" t="n"/>
      <c r="F43" s="15">
        <f>IFERROR(VLOOKUP(D43, Config!A:B, 2, FALSE), "")</f>
        <v/>
      </c>
      <c r="G43" s="15">
        <f>IF(E43="", "", WORKDAY(E43, F43))</f>
        <v/>
      </c>
      <c r="H43" s="15" t="n"/>
      <c r="I43" s="15" t="n"/>
      <c r="J43" s="16" t="n"/>
    </row>
    <row r="44">
      <c r="A44" s="15" t="n"/>
      <c r="B44" s="16" t="n"/>
      <c r="C44" s="16" t="n"/>
      <c r="D44" s="15" t="n"/>
      <c r="E44" s="15" t="n"/>
      <c r="F44" s="15">
        <f>IFERROR(VLOOKUP(D44, Config!A:B, 2, FALSE), "")</f>
        <v/>
      </c>
      <c r="G44" s="15">
        <f>IF(E44="", "", WORKDAY(E44, F44))</f>
        <v/>
      </c>
      <c r="H44" s="15" t="n"/>
      <c r="I44" s="15" t="n"/>
      <c r="J44" s="16" t="n"/>
    </row>
    <row r="45">
      <c r="A45" s="15" t="n"/>
      <c r="B45" s="16" t="n"/>
      <c r="C45" s="16" t="n"/>
      <c r="D45" s="15" t="n"/>
      <c r="E45" s="15" t="n"/>
      <c r="F45" s="15">
        <f>IFERROR(VLOOKUP(D45, Config!A:B, 2, FALSE), "")</f>
        <v/>
      </c>
      <c r="G45" s="15">
        <f>IF(E45="", "", WORKDAY(E45, F45))</f>
        <v/>
      </c>
      <c r="H45" s="15" t="n"/>
      <c r="I45" s="15" t="n"/>
      <c r="J45" s="16" t="n"/>
    </row>
    <row r="46">
      <c r="A46" s="15" t="n"/>
      <c r="B46" s="16" t="n"/>
      <c r="C46" s="16" t="n"/>
      <c r="D46" s="15" t="n"/>
      <c r="E46" s="15" t="n"/>
      <c r="F46" s="15">
        <f>IFERROR(VLOOKUP(D46, Config!A:B, 2, FALSE), "")</f>
        <v/>
      </c>
      <c r="G46" s="15">
        <f>IF(E46="", "", WORKDAY(E46, F46))</f>
        <v/>
      </c>
      <c r="H46" s="15" t="n"/>
      <c r="I46" s="15" t="n"/>
      <c r="J46" s="16" t="n"/>
    </row>
    <row r="47">
      <c r="A47" s="15" t="n"/>
      <c r="B47" s="16" t="n"/>
      <c r="C47" s="16" t="n"/>
      <c r="D47" s="15" t="n"/>
      <c r="E47" s="15" t="n"/>
      <c r="F47" s="15">
        <f>IFERROR(VLOOKUP(D47, Config!A:B, 2, FALSE), "")</f>
        <v/>
      </c>
      <c r="G47" s="15">
        <f>IF(E47="", "", WORKDAY(E47, F47))</f>
        <v/>
      </c>
      <c r="H47" s="15" t="n"/>
      <c r="I47" s="15" t="n"/>
      <c r="J47" s="16" t="n"/>
    </row>
    <row r="48">
      <c r="A48" s="15" t="n"/>
      <c r="B48" s="16" t="n"/>
      <c r="C48" s="16" t="n"/>
      <c r="D48" s="15" t="n"/>
      <c r="E48" s="15" t="n"/>
      <c r="F48" s="15">
        <f>IFERROR(VLOOKUP(D48, Config!A:B, 2, FALSE), "")</f>
        <v/>
      </c>
      <c r="G48" s="15">
        <f>IF(E48="", "", WORKDAY(E48, F48))</f>
        <v/>
      </c>
      <c r="H48" s="15" t="n"/>
      <c r="I48" s="15" t="n"/>
      <c r="J48" s="16" t="n"/>
    </row>
    <row r="49">
      <c r="A49" s="15" t="n"/>
      <c r="B49" s="16" t="n"/>
      <c r="C49" s="16" t="n"/>
      <c r="D49" s="15" t="n"/>
      <c r="E49" s="15" t="n"/>
      <c r="F49" s="15">
        <f>IFERROR(VLOOKUP(D49, Config!A:B, 2, FALSE), "")</f>
        <v/>
      </c>
      <c r="G49" s="15">
        <f>IF(E49="", "", WORKDAY(E49, F49))</f>
        <v/>
      </c>
      <c r="H49" s="15" t="n"/>
      <c r="I49" s="15" t="n"/>
      <c r="J49" s="16" t="n"/>
    </row>
    <row r="50">
      <c r="A50" s="15" t="n"/>
      <c r="B50" s="16" t="n"/>
      <c r="C50" s="16" t="n"/>
      <c r="D50" s="15" t="n"/>
      <c r="E50" s="15" t="n"/>
      <c r="F50" s="15">
        <f>IFERROR(VLOOKUP(D50, Config!A:B, 2, FALSE), "")</f>
        <v/>
      </c>
      <c r="G50" s="15">
        <f>IF(E50="", "", WORKDAY(E50, F50))</f>
        <v/>
      </c>
      <c r="H50" s="15" t="n"/>
      <c r="I50" s="15" t="n"/>
      <c r="J50" s="16" t="n"/>
    </row>
    <row r="51">
      <c r="A51" s="15" t="n"/>
      <c r="B51" s="16" t="n"/>
      <c r="C51" s="16" t="n"/>
      <c r="D51" s="15" t="n"/>
      <c r="E51" s="15" t="n"/>
      <c r="F51" s="15">
        <f>IFERROR(VLOOKUP(D51, Config!A:B, 2, FALSE), "")</f>
        <v/>
      </c>
      <c r="G51" s="15">
        <f>IF(E51="", "", WORKDAY(E51, F51))</f>
        <v/>
      </c>
      <c r="H51" s="15" t="n"/>
      <c r="I51" s="15" t="n"/>
      <c r="J51" s="16" t="n"/>
    </row>
    <row r="52">
      <c r="A52" s="15" t="n"/>
      <c r="B52" s="16" t="n"/>
      <c r="C52" s="16" t="n"/>
      <c r="D52" s="15" t="n"/>
      <c r="E52" s="15" t="n"/>
      <c r="F52" s="15">
        <f>IFERROR(VLOOKUP(D52, Config!A:B, 2, FALSE), "")</f>
        <v/>
      </c>
      <c r="G52" s="15">
        <f>IF(E52="", "", WORKDAY(E52, F52))</f>
        <v/>
      </c>
      <c r="H52" s="15" t="n"/>
      <c r="I52" s="15" t="n"/>
      <c r="J52" s="16" t="n"/>
    </row>
    <row r="53">
      <c r="A53" s="15" t="n"/>
      <c r="B53" s="16" t="n"/>
      <c r="C53" s="16" t="n"/>
      <c r="D53" s="15" t="n"/>
      <c r="E53" s="15" t="n"/>
      <c r="F53" s="15">
        <f>IFERROR(VLOOKUP(D53, Config!A:B, 2, FALSE), "")</f>
        <v/>
      </c>
      <c r="G53" s="15">
        <f>IF(E53="", "", WORKDAY(E53, F53))</f>
        <v/>
      </c>
      <c r="H53" s="15" t="n"/>
      <c r="I53" s="15" t="n"/>
      <c r="J53" s="16" t="n"/>
    </row>
    <row r="54">
      <c r="A54" s="15" t="n"/>
      <c r="B54" s="16" t="n"/>
      <c r="C54" s="16" t="n"/>
      <c r="D54" s="15" t="n"/>
      <c r="E54" s="15" t="n"/>
      <c r="F54" s="15">
        <f>IFERROR(VLOOKUP(D54, Config!A:B, 2, FALSE), "")</f>
        <v/>
      </c>
      <c r="G54" s="15">
        <f>IF(E54="", "", WORKDAY(E54, F54))</f>
        <v/>
      </c>
      <c r="H54" s="15" t="n"/>
      <c r="I54" s="15" t="n"/>
      <c r="J54" s="16" t="n"/>
    </row>
    <row r="55">
      <c r="A55" s="15" t="n"/>
      <c r="B55" s="16" t="n"/>
      <c r="C55" s="16" t="n"/>
      <c r="D55" s="15" t="n"/>
      <c r="E55" s="15" t="n"/>
      <c r="F55" s="15">
        <f>IFERROR(VLOOKUP(D55, Config!A:B, 2, FALSE), "")</f>
        <v/>
      </c>
      <c r="G55" s="15">
        <f>IF(E55="", "", WORKDAY(E55, F55))</f>
        <v/>
      </c>
      <c r="H55" s="15" t="n"/>
      <c r="I55" s="15" t="n"/>
      <c r="J55" s="16" t="n"/>
    </row>
    <row r="56">
      <c r="A56" s="15" t="n"/>
      <c r="B56" s="16" t="n"/>
      <c r="C56" s="16" t="n"/>
      <c r="D56" s="15" t="n"/>
      <c r="E56" s="15" t="n"/>
      <c r="F56" s="15">
        <f>IFERROR(VLOOKUP(D56, Config!A:B, 2, FALSE), "")</f>
        <v/>
      </c>
      <c r="G56" s="15">
        <f>IF(E56="", "", WORKDAY(E56, F56))</f>
        <v/>
      </c>
      <c r="H56" s="15" t="n"/>
      <c r="I56" s="15" t="n"/>
      <c r="J56" s="16" t="n"/>
    </row>
    <row r="57">
      <c r="A57" s="15" t="n"/>
      <c r="B57" s="16" t="n"/>
      <c r="C57" s="16" t="n"/>
      <c r="D57" s="15" t="n"/>
      <c r="E57" s="15" t="n"/>
      <c r="F57" s="15">
        <f>IFERROR(VLOOKUP(D57, Config!A:B, 2, FALSE), "")</f>
        <v/>
      </c>
      <c r="G57" s="15">
        <f>IF(E57="", "", WORKDAY(E57, F57))</f>
        <v/>
      </c>
      <c r="H57" s="15" t="n"/>
      <c r="I57" s="15" t="n"/>
      <c r="J57" s="16" t="n"/>
    </row>
    <row r="58">
      <c r="A58" s="15" t="n"/>
      <c r="B58" s="16" t="n"/>
      <c r="C58" s="16" t="n"/>
      <c r="D58" s="15" t="n"/>
      <c r="E58" s="15" t="n"/>
      <c r="F58" s="15">
        <f>IFERROR(VLOOKUP(D58, Config!A:B, 2, FALSE), "")</f>
        <v/>
      </c>
      <c r="G58" s="15">
        <f>IF(E58="", "", WORKDAY(E58, F58))</f>
        <v/>
      </c>
      <c r="H58" s="15" t="n"/>
      <c r="I58" s="15" t="n"/>
      <c r="J58" s="16" t="n"/>
    </row>
    <row r="59">
      <c r="A59" s="15" t="n"/>
      <c r="B59" s="16" t="n"/>
      <c r="C59" s="16" t="n"/>
      <c r="D59" s="15" t="n"/>
      <c r="E59" s="15" t="n"/>
      <c r="F59" s="15">
        <f>IFERROR(VLOOKUP(D59, Config!A:B, 2, FALSE), "")</f>
        <v/>
      </c>
      <c r="G59" s="15">
        <f>IF(E59="", "", WORKDAY(E59, F59))</f>
        <v/>
      </c>
      <c r="H59" s="15" t="n"/>
      <c r="I59" s="15" t="n"/>
      <c r="J59" s="16" t="n"/>
    </row>
    <row r="60">
      <c r="A60" s="15" t="n"/>
      <c r="B60" s="16" t="n"/>
      <c r="C60" s="16" t="n"/>
      <c r="D60" s="15" t="n"/>
      <c r="E60" s="15" t="n"/>
      <c r="F60" s="15">
        <f>IFERROR(VLOOKUP(D60, Config!A:B, 2, FALSE), "")</f>
        <v/>
      </c>
      <c r="G60" s="15">
        <f>IF(E60="", "", WORKDAY(E60, F60))</f>
        <v/>
      </c>
      <c r="H60" s="15" t="n"/>
      <c r="I60" s="15" t="n"/>
      <c r="J60" s="16" t="n"/>
    </row>
    <row r="61">
      <c r="A61" s="15" t="n"/>
      <c r="B61" s="16" t="n"/>
      <c r="C61" s="16" t="n"/>
      <c r="D61" s="15" t="n"/>
      <c r="E61" s="15" t="n"/>
      <c r="F61" s="15">
        <f>IFERROR(VLOOKUP(D61, Config!A:B, 2, FALSE), "")</f>
        <v/>
      </c>
      <c r="G61" s="15">
        <f>IF(E61="", "", WORKDAY(E61, F61))</f>
        <v/>
      </c>
      <c r="H61" s="15" t="n"/>
      <c r="I61" s="15" t="n"/>
      <c r="J61" s="16" t="n"/>
    </row>
    <row r="62">
      <c r="A62" s="15" t="n"/>
      <c r="B62" s="16" t="n"/>
      <c r="C62" s="16" t="n"/>
      <c r="D62" s="15" t="n"/>
      <c r="E62" s="15" t="n"/>
      <c r="F62" s="15">
        <f>IFERROR(VLOOKUP(D62, Config!A:B, 2, FALSE), "")</f>
        <v/>
      </c>
      <c r="G62" s="15">
        <f>IF(E62="", "", WORKDAY(E62, F62))</f>
        <v/>
      </c>
      <c r="H62" s="15" t="n"/>
      <c r="I62" s="15" t="n"/>
      <c r="J62" s="16" t="n"/>
    </row>
    <row r="63">
      <c r="A63" s="15" t="n"/>
      <c r="B63" s="16" t="n"/>
      <c r="C63" s="16" t="n"/>
      <c r="D63" s="15" t="n"/>
      <c r="E63" s="15" t="n"/>
      <c r="F63" s="15">
        <f>IFERROR(VLOOKUP(D63, Config!A:B, 2, FALSE), "")</f>
        <v/>
      </c>
      <c r="G63" s="15">
        <f>IF(E63="", "", WORKDAY(E63, F63))</f>
        <v/>
      </c>
      <c r="H63" s="15" t="n"/>
      <c r="I63" s="15" t="n"/>
      <c r="J63" s="16" t="n"/>
    </row>
    <row r="64">
      <c r="A64" s="15" t="n"/>
      <c r="B64" s="16" t="n"/>
      <c r="C64" s="16" t="n"/>
      <c r="D64" s="15" t="n"/>
      <c r="E64" s="15" t="n"/>
      <c r="F64" s="15">
        <f>IFERROR(VLOOKUP(D64, Config!A:B, 2, FALSE), "")</f>
        <v/>
      </c>
      <c r="G64" s="15">
        <f>IF(E64="", "", WORKDAY(E64, F64))</f>
        <v/>
      </c>
      <c r="H64" s="15" t="n"/>
      <c r="I64" s="15" t="n"/>
      <c r="J64" s="16" t="n"/>
    </row>
    <row r="65">
      <c r="A65" s="15" t="n"/>
      <c r="B65" s="16" t="n"/>
      <c r="C65" s="16" t="n"/>
      <c r="D65" s="15" t="n"/>
      <c r="E65" s="15" t="n"/>
      <c r="F65" s="15">
        <f>IFERROR(VLOOKUP(D65, Config!A:B, 2, FALSE), "")</f>
        <v/>
      </c>
      <c r="G65" s="15">
        <f>IF(E65="", "", WORKDAY(E65, F65))</f>
        <v/>
      </c>
      <c r="H65" s="15" t="n"/>
      <c r="I65" s="15" t="n"/>
      <c r="J65" s="16" t="n"/>
    </row>
    <row r="66">
      <c r="A66" s="15" t="n"/>
      <c r="B66" s="16" t="n"/>
      <c r="C66" s="16" t="n"/>
      <c r="D66" s="15" t="n"/>
      <c r="E66" s="15" t="n"/>
      <c r="F66" s="15">
        <f>IFERROR(VLOOKUP(D66, Config!A:B, 2, FALSE), "")</f>
        <v/>
      </c>
      <c r="G66" s="15">
        <f>IF(E66="", "", WORKDAY(E66, F66))</f>
        <v/>
      </c>
      <c r="H66" s="15" t="n"/>
      <c r="I66" s="15" t="n"/>
      <c r="J66" s="16" t="n"/>
    </row>
    <row r="67">
      <c r="A67" s="15" t="n"/>
      <c r="B67" s="16" t="n"/>
      <c r="C67" s="16" t="n"/>
      <c r="D67" s="15" t="n"/>
      <c r="E67" s="15" t="n"/>
      <c r="F67" s="15">
        <f>IFERROR(VLOOKUP(D67, Config!A:B, 2, FALSE), "")</f>
        <v/>
      </c>
      <c r="G67" s="15">
        <f>IF(E67="", "", WORKDAY(E67, F67))</f>
        <v/>
      </c>
      <c r="H67" s="15" t="n"/>
      <c r="I67" s="15" t="n"/>
      <c r="J67" s="16" t="n"/>
    </row>
    <row r="68">
      <c r="A68" s="15" t="n"/>
      <c r="B68" s="16" t="n"/>
      <c r="C68" s="16" t="n"/>
      <c r="D68" s="15" t="n"/>
      <c r="E68" s="15" t="n"/>
      <c r="F68" s="15">
        <f>IFERROR(VLOOKUP(D68, Config!A:B, 2, FALSE), "")</f>
        <v/>
      </c>
      <c r="G68" s="15">
        <f>IF(E68="", "", WORKDAY(E68, F68))</f>
        <v/>
      </c>
      <c r="H68" s="15" t="n"/>
      <c r="I68" s="15" t="n"/>
      <c r="J68" s="16" t="n"/>
    </row>
    <row r="69">
      <c r="A69" s="15" t="n"/>
      <c r="B69" s="16" t="n"/>
      <c r="C69" s="16" t="n"/>
      <c r="D69" s="15" t="n"/>
      <c r="E69" s="15" t="n"/>
      <c r="F69" s="15">
        <f>IFERROR(VLOOKUP(D69, Config!A:B, 2, FALSE), "")</f>
        <v/>
      </c>
      <c r="G69" s="15">
        <f>IF(E69="", "", WORKDAY(E69, F69))</f>
        <v/>
      </c>
      <c r="H69" s="15" t="n"/>
      <c r="I69" s="15" t="n"/>
      <c r="J69" s="16" t="n"/>
    </row>
    <row r="70">
      <c r="A70" s="15" t="n"/>
      <c r="B70" s="16" t="n"/>
      <c r="C70" s="16" t="n"/>
      <c r="D70" s="15" t="n"/>
      <c r="E70" s="15" t="n"/>
      <c r="F70" s="15">
        <f>IFERROR(VLOOKUP(D70, Config!A:B, 2, FALSE), "")</f>
        <v/>
      </c>
      <c r="G70" s="15">
        <f>IF(E70="", "", WORKDAY(E70, F70))</f>
        <v/>
      </c>
      <c r="H70" s="15" t="n"/>
      <c r="I70" s="15" t="n"/>
      <c r="J70" s="16" t="n"/>
    </row>
    <row r="71">
      <c r="A71" s="15" t="n"/>
      <c r="B71" s="16" t="n"/>
      <c r="C71" s="16" t="n"/>
      <c r="D71" s="15" t="n"/>
      <c r="E71" s="15" t="n"/>
      <c r="F71" s="15">
        <f>IFERROR(VLOOKUP(D71, Config!A:B, 2, FALSE), "")</f>
        <v/>
      </c>
      <c r="G71" s="15">
        <f>IF(E71="", "", WORKDAY(E71, F71))</f>
        <v/>
      </c>
      <c r="H71" s="15" t="n"/>
      <c r="I71" s="15" t="n"/>
      <c r="J71" s="16" t="n"/>
    </row>
    <row r="72">
      <c r="A72" s="15" t="n"/>
      <c r="B72" s="16" t="n"/>
      <c r="C72" s="16" t="n"/>
      <c r="D72" s="15" t="n"/>
      <c r="E72" s="15" t="n"/>
      <c r="F72" s="15">
        <f>IFERROR(VLOOKUP(D72, Config!A:B, 2, FALSE), "")</f>
        <v/>
      </c>
      <c r="G72" s="15">
        <f>IF(E72="", "", WORKDAY(E72, F72))</f>
        <v/>
      </c>
      <c r="H72" s="15" t="n"/>
      <c r="I72" s="15" t="n"/>
      <c r="J72" s="16" t="n"/>
    </row>
    <row r="73">
      <c r="A73" s="15" t="n"/>
      <c r="B73" s="16" t="n"/>
      <c r="C73" s="16" t="n"/>
      <c r="D73" s="15" t="n"/>
      <c r="E73" s="15" t="n"/>
      <c r="F73" s="15">
        <f>IFERROR(VLOOKUP(D73, Config!A:B, 2, FALSE), "")</f>
        <v/>
      </c>
      <c r="G73" s="15">
        <f>IF(E73="", "", WORKDAY(E73, F73))</f>
        <v/>
      </c>
      <c r="H73" s="15" t="n"/>
      <c r="I73" s="15" t="n"/>
      <c r="J73" s="16" t="n"/>
    </row>
    <row r="74">
      <c r="A74" s="15" t="n"/>
      <c r="B74" s="16" t="n"/>
      <c r="C74" s="16" t="n"/>
      <c r="D74" s="15" t="n"/>
      <c r="E74" s="15" t="n"/>
      <c r="F74" s="15">
        <f>IFERROR(VLOOKUP(D74, Config!A:B, 2, FALSE), "")</f>
        <v/>
      </c>
      <c r="G74" s="15">
        <f>IF(E74="", "", WORKDAY(E74, F74))</f>
        <v/>
      </c>
      <c r="H74" s="15" t="n"/>
      <c r="I74" s="15" t="n"/>
      <c r="J74" s="16" t="n"/>
    </row>
    <row r="75">
      <c r="A75" s="15" t="n"/>
      <c r="B75" s="16" t="n"/>
      <c r="C75" s="16" t="n"/>
      <c r="D75" s="15" t="n"/>
      <c r="E75" s="15" t="n"/>
      <c r="F75" s="15">
        <f>IFERROR(VLOOKUP(D75, Config!A:B, 2, FALSE), "")</f>
        <v/>
      </c>
      <c r="G75" s="15">
        <f>IF(E75="", "", WORKDAY(E75, F75))</f>
        <v/>
      </c>
      <c r="H75" s="15" t="n"/>
      <c r="I75" s="15" t="n"/>
      <c r="J75" s="16" t="n"/>
    </row>
    <row r="76">
      <c r="A76" s="15" t="n"/>
      <c r="B76" s="16" t="n"/>
      <c r="C76" s="16" t="n"/>
      <c r="D76" s="15" t="n"/>
      <c r="E76" s="15" t="n"/>
      <c r="F76" s="15">
        <f>IFERROR(VLOOKUP(D76, Config!A:B, 2, FALSE), "")</f>
        <v/>
      </c>
      <c r="G76" s="15">
        <f>IF(E76="", "", WORKDAY(E76, F76))</f>
        <v/>
      </c>
      <c r="H76" s="15" t="n"/>
      <c r="I76" s="15" t="n"/>
      <c r="J76" s="16" t="n"/>
    </row>
    <row r="77">
      <c r="A77" s="15" t="n"/>
      <c r="B77" s="16" t="n"/>
      <c r="C77" s="16" t="n"/>
      <c r="D77" s="15" t="n"/>
      <c r="E77" s="15" t="n"/>
      <c r="F77" s="15">
        <f>IFERROR(VLOOKUP(D77, Config!A:B, 2, FALSE), "")</f>
        <v/>
      </c>
      <c r="G77" s="15">
        <f>IF(E77="", "", WORKDAY(E77, F77))</f>
        <v/>
      </c>
      <c r="H77" s="15" t="n"/>
      <c r="I77" s="15" t="n"/>
      <c r="J77" s="16" t="n"/>
    </row>
    <row r="78">
      <c r="A78" s="15" t="n"/>
      <c r="B78" s="16" t="n"/>
      <c r="C78" s="16" t="n"/>
      <c r="D78" s="15" t="n"/>
      <c r="E78" s="15" t="n"/>
      <c r="F78" s="15">
        <f>IFERROR(VLOOKUP(D78, Config!A:B, 2, FALSE), "")</f>
        <v/>
      </c>
      <c r="G78" s="15">
        <f>IF(E78="", "", WORKDAY(E78, F78))</f>
        <v/>
      </c>
      <c r="H78" s="15" t="n"/>
      <c r="I78" s="15" t="n"/>
      <c r="J78" s="16" t="n"/>
    </row>
    <row r="79">
      <c r="A79" s="15" t="n"/>
      <c r="B79" s="16" t="n"/>
      <c r="C79" s="16" t="n"/>
      <c r="D79" s="15" t="n"/>
      <c r="E79" s="15" t="n"/>
      <c r="F79" s="15">
        <f>IFERROR(VLOOKUP(D79, Config!A:B, 2, FALSE), "")</f>
        <v/>
      </c>
      <c r="G79" s="15">
        <f>IF(E79="", "", WORKDAY(E79, F79))</f>
        <v/>
      </c>
      <c r="H79" s="15" t="n"/>
      <c r="I79" s="15" t="n"/>
      <c r="J79" s="16" t="n"/>
    </row>
    <row r="80">
      <c r="A80" s="15" t="n"/>
      <c r="B80" s="16" t="n"/>
      <c r="C80" s="16" t="n"/>
      <c r="D80" s="15" t="n"/>
      <c r="E80" s="15" t="n"/>
      <c r="F80" s="15">
        <f>IFERROR(VLOOKUP(D80, Config!A:B, 2, FALSE), "")</f>
        <v/>
      </c>
      <c r="G80" s="15">
        <f>IF(E80="", "", WORKDAY(E80, F80))</f>
        <v/>
      </c>
      <c r="H80" s="15" t="n"/>
      <c r="I80" s="15" t="n"/>
      <c r="J80" s="16" t="n"/>
    </row>
    <row r="81">
      <c r="A81" s="15" t="n"/>
      <c r="B81" s="16" t="n"/>
      <c r="C81" s="16" t="n"/>
      <c r="D81" s="15" t="n"/>
      <c r="E81" s="15" t="n"/>
      <c r="F81" s="15">
        <f>IFERROR(VLOOKUP(D81, Config!A:B, 2, FALSE), "")</f>
        <v/>
      </c>
      <c r="G81" s="15">
        <f>IF(E81="", "", WORKDAY(E81, F81))</f>
        <v/>
      </c>
      <c r="H81" s="15" t="n"/>
      <c r="I81" s="15" t="n"/>
      <c r="J81" s="16" t="n"/>
    </row>
    <row r="82">
      <c r="A82" s="15" t="n"/>
      <c r="B82" s="16" t="n"/>
      <c r="C82" s="16" t="n"/>
      <c r="D82" s="15" t="n"/>
      <c r="E82" s="15" t="n"/>
      <c r="F82" s="15">
        <f>IFERROR(VLOOKUP(D82, Config!A:B, 2, FALSE), "")</f>
        <v/>
      </c>
      <c r="G82" s="15">
        <f>IF(E82="", "", WORKDAY(E82, F82))</f>
        <v/>
      </c>
      <c r="H82" s="15" t="n"/>
      <c r="I82" s="15" t="n"/>
      <c r="J82" s="16" t="n"/>
    </row>
    <row r="83">
      <c r="A83" s="15" t="n"/>
      <c r="B83" s="16" t="n"/>
      <c r="C83" s="16" t="n"/>
      <c r="D83" s="15" t="n"/>
      <c r="E83" s="15" t="n"/>
      <c r="F83" s="15">
        <f>IFERROR(VLOOKUP(D83, Config!A:B, 2, FALSE), "")</f>
        <v/>
      </c>
      <c r="G83" s="15">
        <f>IF(E83="", "", WORKDAY(E83, F83))</f>
        <v/>
      </c>
      <c r="H83" s="15" t="n"/>
      <c r="I83" s="15" t="n"/>
      <c r="J83" s="16" t="n"/>
    </row>
    <row r="84">
      <c r="A84" s="15" t="n"/>
      <c r="B84" s="16" t="n"/>
      <c r="C84" s="16" t="n"/>
      <c r="D84" s="15" t="n"/>
      <c r="E84" s="15" t="n"/>
      <c r="F84" s="15">
        <f>IFERROR(VLOOKUP(D84, Config!A:B, 2, FALSE), "")</f>
        <v/>
      </c>
      <c r="G84" s="15">
        <f>IF(E84="", "", WORKDAY(E84, F84))</f>
        <v/>
      </c>
      <c r="H84" s="15" t="n"/>
      <c r="I84" s="15" t="n"/>
      <c r="J84" s="16" t="n"/>
    </row>
    <row r="85">
      <c r="A85" s="15" t="n"/>
      <c r="B85" s="16" t="n"/>
      <c r="C85" s="16" t="n"/>
      <c r="D85" s="15" t="n"/>
      <c r="E85" s="15" t="n"/>
      <c r="F85" s="15">
        <f>IFERROR(VLOOKUP(D85, Config!A:B, 2, FALSE), "")</f>
        <v/>
      </c>
      <c r="G85" s="15">
        <f>IF(E85="", "", WORKDAY(E85, F85))</f>
        <v/>
      </c>
      <c r="H85" s="15" t="n"/>
      <c r="I85" s="15" t="n"/>
      <c r="J85" s="16" t="n"/>
    </row>
    <row r="86">
      <c r="A86" s="15" t="n"/>
      <c r="B86" s="16" t="n"/>
      <c r="C86" s="16" t="n"/>
      <c r="D86" s="15" t="n"/>
      <c r="E86" s="15" t="n"/>
      <c r="F86" s="15">
        <f>IFERROR(VLOOKUP(D86, Config!A:B, 2, FALSE), "")</f>
        <v/>
      </c>
      <c r="G86" s="15">
        <f>IF(E86="", "", WORKDAY(E86, F86))</f>
        <v/>
      </c>
      <c r="H86" s="15" t="n"/>
      <c r="I86" s="15" t="n"/>
      <c r="J86" s="16" t="n"/>
    </row>
    <row r="87">
      <c r="A87" s="15" t="n"/>
      <c r="B87" s="16" t="n"/>
      <c r="C87" s="16" t="n"/>
      <c r="D87" s="15" t="n"/>
      <c r="E87" s="15" t="n"/>
      <c r="F87" s="15">
        <f>IFERROR(VLOOKUP(D87, Config!A:B, 2, FALSE), "")</f>
        <v/>
      </c>
      <c r="G87" s="15">
        <f>IF(E87="", "", WORKDAY(E87, F87))</f>
        <v/>
      </c>
      <c r="H87" s="15" t="n"/>
      <c r="I87" s="15" t="n"/>
      <c r="J87" s="16" t="n"/>
    </row>
    <row r="88">
      <c r="A88" s="15" t="n"/>
      <c r="B88" s="16" t="n"/>
      <c r="C88" s="16" t="n"/>
      <c r="D88" s="15" t="n"/>
      <c r="E88" s="15" t="n"/>
      <c r="F88" s="15">
        <f>IFERROR(VLOOKUP(D88, Config!A:B, 2, FALSE), "")</f>
        <v/>
      </c>
      <c r="G88" s="15">
        <f>IF(E88="", "", WORKDAY(E88, F88))</f>
        <v/>
      </c>
      <c r="H88" s="15" t="n"/>
      <c r="I88" s="15" t="n"/>
      <c r="J88" s="16" t="n"/>
    </row>
    <row r="89">
      <c r="A89" s="15" t="n"/>
      <c r="B89" s="16" t="n"/>
      <c r="C89" s="16" t="n"/>
      <c r="D89" s="15" t="n"/>
      <c r="E89" s="15" t="n"/>
      <c r="F89" s="15">
        <f>IFERROR(VLOOKUP(D89, Config!A:B, 2, FALSE), "")</f>
        <v/>
      </c>
      <c r="G89" s="15">
        <f>IF(E89="", "", WORKDAY(E89, F89))</f>
        <v/>
      </c>
      <c r="H89" s="15" t="n"/>
      <c r="I89" s="15" t="n"/>
      <c r="J89" s="16" t="n"/>
    </row>
    <row r="90">
      <c r="A90" s="15" t="n"/>
      <c r="B90" s="16" t="n"/>
      <c r="C90" s="16" t="n"/>
      <c r="D90" s="15" t="n"/>
      <c r="E90" s="15" t="n"/>
      <c r="F90" s="15">
        <f>IFERROR(VLOOKUP(D90, Config!A:B, 2, FALSE), "")</f>
        <v/>
      </c>
      <c r="G90" s="15">
        <f>IF(E90="", "", WORKDAY(E90, F90))</f>
        <v/>
      </c>
      <c r="H90" s="15" t="n"/>
      <c r="I90" s="15" t="n"/>
      <c r="J90" s="16" t="n"/>
    </row>
    <row r="91">
      <c r="A91" s="15" t="n"/>
      <c r="B91" s="16" t="n"/>
      <c r="C91" s="16" t="n"/>
      <c r="D91" s="15" t="n"/>
      <c r="E91" s="15" t="n"/>
      <c r="F91" s="15">
        <f>IFERROR(VLOOKUP(D91, Config!A:B, 2, FALSE), "")</f>
        <v/>
      </c>
      <c r="G91" s="15">
        <f>IF(E91="", "", WORKDAY(E91, F91))</f>
        <v/>
      </c>
      <c r="H91" s="15" t="n"/>
      <c r="I91" s="15" t="n"/>
      <c r="J91" s="16" t="n"/>
    </row>
    <row r="92">
      <c r="A92" s="15" t="n"/>
      <c r="B92" s="16" t="n"/>
      <c r="C92" s="16" t="n"/>
      <c r="D92" s="15" t="n"/>
      <c r="E92" s="15" t="n"/>
      <c r="F92" s="15">
        <f>IFERROR(VLOOKUP(D92, Config!A:B, 2, FALSE), "")</f>
        <v/>
      </c>
      <c r="G92" s="15">
        <f>IF(E92="", "", WORKDAY(E92, F92))</f>
        <v/>
      </c>
      <c r="H92" s="15" t="n"/>
      <c r="I92" s="15" t="n"/>
      <c r="J92" s="16" t="n"/>
    </row>
    <row r="93">
      <c r="A93" s="15" t="n"/>
      <c r="B93" s="16" t="n"/>
      <c r="C93" s="16" t="n"/>
      <c r="D93" s="15" t="n"/>
      <c r="E93" s="15" t="n"/>
      <c r="F93" s="15">
        <f>IFERROR(VLOOKUP(D93, Config!A:B, 2, FALSE), "")</f>
        <v/>
      </c>
      <c r="G93" s="15">
        <f>IF(E93="", "", WORKDAY(E93, F93))</f>
        <v/>
      </c>
      <c r="H93" s="15" t="n"/>
      <c r="I93" s="15" t="n"/>
      <c r="J93" s="16" t="n"/>
    </row>
    <row r="94">
      <c r="A94" s="15" t="n"/>
      <c r="B94" s="16" t="n"/>
      <c r="C94" s="16" t="n"/>
      <c r="D94" s="15" t="n"/>
      <c r="E94" s="15" t="n"/>
      <c r="F94" s="15">
        <f>IFERROR(VLOOKUP(D94, Config!A:B, 2, FALSE), "")</f>
        <v/>
      </c>
      <c r="G94" s="15">
        <f>IF(E94="", "", WORKDAY(E94, F94))</f>
        <v/>
      </c>
      <c r="H94" s="15" t="n"/>
      <c r="I94" s="15" t="n"/>
      <c r="J94" s="16" t="n"/>
    </row>
    <row r="95">
      <c r="A95" s="15" t="n"/>
      <c r="B95" s="16" t="n"/>
      <c r="C95" s="16" t="n"/>
      <c r="D95" s="15" t="n"/>
      <c r="E95" s="15" t="n"/>
      <c r="F95" s="15">
        <f>IFERROR(VLOOKUP(D95, Config!A:B, 2, FALSE), "")</f>
        <v/>
      </c>
      <c r="G95" s="15">
        <f>IF(E95="", "", WORKDAY(E95, F95))</f>
        <v/>
      </c>
      <c r="H95" s="15" t="n"/>
      <c r="I95" s="15" t="n"/>
      <c r="J95" s="16" t="n"/>
    </row>
    <row r="96">
      <c r="A96" s="15" t="n"/>
      <c r="B96" s="16" t="n"/>
      <c r="C96" s="16" t="n"/>
      <c r="D96" s="15" t="n"/>
      <c r="E96" s="15" t="n"/>
      <c r="F96" s="15">
        <f>IFERROR(VLOOKUP(D96, Config!A:B, 2, FALSE), "")</f>
        <v/>
      </c>
      <c r="G96" s="15">
        <f>IF(E96="", "", WORKDAY(E96, F96))</f>
        <v/>
      </c>
      <c r="H96" s="15" t="n"/>
      <c r="I96" s="15" t="n"/>
      <c r="J96" s="16" t="n"/>
    </row>
    <row r="97">
      <c r="A97" s="15" t="n"/>
      <c r="B97" s="16" t="n"/>
      <c r="C97" s="16" t="n"/>
      <c r="D97" s="15" t="n"/>
      <c r="E97" s="15" t="n"/>
      <c r="F97" s="15">
        <f>IFERROR(VLOOKUP(D97, Config!A:B, 2, FALSE), "")</f>
        <v/>
      </c>
      <c r="G97" s="15">
        <f>IF(E97="", "", WORKDAY(E97, F97))</f>
        <v/>
      </c>
      <c r="H97" s="15" t="n"/>
      <c r="I97" s="15" t="n"/>
      <c r="J97" s="16" t="n"/>
    </row>
    <row r="98">
      <c r="A98" s="15" t="n"/>
      <c r="B98" s="16" t="n"/>
      <c r="C98" s="16" t="n"/>
      <c r="D98" s="15" t="n"/>
      <c r="E98" s="15" t="n"/>
      <c r="F98" s="15">
        <f>IFERROR(VLOOKUP(D98, Config!A:B, 2, FALSE), "")</f>
        <v/>
      </c>
      <c r="G98" s="15">
        <f>IF(E98="", "", WORKDAY(E98, F98))</f>
        <v/>
      </c>
      <c r="H98" s="15" t="n"/>
      <c r="I98" s="15" t="n"/>
      <c r="J98" s="16" t="n"/>
    </row>
    <row r="99">
      <c r="A99" s="15" t="n"/>
      <c r="B99" s="16" t="n"/>
      <c r="C99" s="16" t="n"/>
      <c r="D99" s="15" t="n"/>
      <c r="E99" s="15" t="n"/>
      <c r="F99" s="15">
        <f>IFERROR(VLOOKUP(D99, Config!A:B, 2, FALSE), "")</f>
        <v/>
      </c>
      <c r="G99" s="15">
        <f>IF(E99="", "", WORKDAY(E99, F99))</f>
        <v/>
      </c>
      <c r="H99" s="15" t="n"/>
      <c r="I99" s="15" t="n"/>
      <c r="J99" s="16" t="n"/>
    </row>
    <row r="100">
      <c r="A100" s="15" t="n"/>
      <c r="B100" s="16" t="n"/>
      <c r="C100" s="16" t="n"/>
      <c r="D100" s="15" t="n"/>
      <c r="E100" s="15" t="n"/>
      <c r="F100" s="15">
        <f>IFERROR(VLOOKUP(D100, Config!A:B, 2, FALSE), "")</f>
        <v/>
      </c>
      <c r="G100" s="15">
        <f>IF(E100="", "", WORKDAY(E100, F100))</f>
        <v/>
      </c>
      <c r="H100" s="15" t="n"/>
      <c r="I100" s="15" t="n"/>
      <c r="J100" s="16" t="n"/>
    </row>
  </sheetData>
  <conditionalFormatting sqref="D2:D1000">
    <cfRule type="cellIs" priority="1" operator="equal" dxfId="3">
      <formula>"Baixa"</formula>
    </cfRule>
    <cfRule type="cellIs" priority="2" operator="equal" dxfId="4">
      <formula>"Média"</formula>
    </cfRule>
    <cfRule type="cellIs" priority="3" operator="equal" dxfId="5">
      <formula>"Alta"</formula>
    </cfRule>
  </conditionalFormatting>
  <conditionalFormatting sqref="H2:H1000">
    <cfRule type="cellIs" priority="4" operator="equal" dxfId="3">
      <formula>"Finalizada"</formula>
    </cfRule>
  </conditionalFormatting>
  <dataValidations count="2">
    <dataValidation sqref="D2:D1000" showDropDown="1" showInputMessage="0" showErrorMessage="0" allowBlank="0" type="list">
      <formula1>"Baixa,Média,Alta"</formula1>
    </dataValidation>
    <dataValidation sqref="H2:H1000" showDropDown="1" showInputMessage="0" showErrorMessage="0" allowBlank="0" type="list">
      <formula1>"Pendente,Em Andamento,Finalizada"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25" customWidth="1" min="10" max="10"/>
  </cols>
  <sheetData>
    <row r="1">
      <c r="A1" s="14" t="inlineStr">
        <is>
          <t>ID</t>
        </is>
      </c>
      <c r="B1" s="14" t="inlineStr">
        <is>
          <t>Cliente</t>
        </is>
      </c>
      <c r="C1" s="14" t="inlineStr">
        <is>
          <t>Tipo de Ação</t>
        </is>
      </c>
      <c r="D1" s="14" t="inlineStr">
        <is>
          <t>Complexidade</t>
        </is>
      </c>
      <c r="E1" s="14" t="inlineStr">
        <is>
          <t>Data Envio Doc</t>
        </is>
      </c>
      <c r="F1" s="14" t="inlineStr">
        <is>
          <t>Prazo (Dias)</t>
        </is>
      </c>
      <c r="G1" s="14" t="inlineStr">
        <is>
          <t>Prazo Fatal</t>
        </is>
      </c>
      <c r="H1" s="14" t="inlineStr">
        <is>
          <t>Status</t>
        </is>
      </c>
      <c r="I1" s="14" t="inlineStr">
        <is>
          <t>Data Protocolo</t>
        </is>
      </c>
      <c r="J1" s="14" t="inlineStr">
        <is>
          <t>Advogado Responsável</t>
        </is>
      </c>
    </row>
    <row r="2">
      <c r="A2" s="15" t="n"/>
      <c r="B2" s="16" t="n"/>
      <c r="C2" s="16" t="n"/>
      <c r="D2" s="15" t="n"/>
      <c r="E2" s="15" t="n"/>
      <c r="F2" s="15">
        <f>IFERROR(VLOOKUP(D2, Config!A:B, 2, FALSE), "")</f>
        <v/>
      </c>
      <c r="G2" s="15">
        <f>IF(E2="", "", WORKDAY(E2, F2))</f>
        <v/>
      </c>
      <c r="H2" s="15" t="n"/>
      <c r="I2" s="15" t="n"/>
      <c r="J2" s="16" t="n"/>
    </row>
    <row r="3">
      <c r="A3" s="15" t="n"/>
      <c r="B3" s="16" t="n"/>
      <c r="C3" s="16" t="n"/>
      <c r="D3" s="15" t="n"/>
      <c r="E3" s="15" t="n"/>
      <c r="F3" s="15">
        <f>IFERROR(VLOOKUP(D3, Config!A:B, 2, FALSE), "")</f>
        <v/>
      </c>
      <c r="G3" s="15">
        <f>IF(E3="", "", WORKDAY(E3, F3))</f>
        <v/>
      </c>
      <c r="H3" s="15" t="n"/>
      <c r="I3" s="15" t="n"/>
      <c r="J3" s="16" t="n"/>
    </row>
    <row r="4">
      <c r="A4" s="15" t="n"/>
      <c r="B4" s="16" t="n"/>
      <c r="C4" s="16" t="n"/>
      <c r="D4" s="15" t="n"/>
      <c r="E4" s="15" t="n"/>
      <c r="F4" s="15">
        <f>IFERROR(VLOOKUP(D4, Config!A:B, 2, FALSE), "")</f>
        <v/>
      </c>
      <c r="G4" s="15">
        <f>IF(E4="", "", WORKDAY(E4, F4))</f>
        <v/>
      </c>
      <c r="H4" s="15" t="n"/>
      <c r="I4" s="15" t="n"/>
      <c r="J4" s="16" t="n"/>
    </row>
    <row r="5">
      <c r="A5" s="15" t="n"/>
      <c r="B5" s="16" t="n"/>
      <c r="C5" s="16" t="n"/>
      <c r="D5" s="15" t="n"/>
      <c r="E5" s="15" t="n"/>
      <c r="F5" s="15">
        <f>IFERROR(VLOOKUP(D5, Config!A:B, 2, FALSE), "")</f>
        <v/>
      </c>
      <c r="G5" s="15">
        <f>IF(E5="", "", WORKDAY(E5, F5))</f>
        <v/>
      </c>
      <c r="H5" s="15" t="n"/>
      <c r="I5" s="15" t="n"/>
      <c r="J5" s="16" t="n"/>
    </row>
    <row r="6">
      <c r="A6" s="15" t="n"/>
      <c r="B6" s="16" t="n"/>
      <c r="C6" s="16" t="n"/>
      <c r="D6" s="15" t="n"/>
      <c r="E6" s="15" t="n"/>
      <c r="F6" s="15">
        <f>IFERROR(VLOOKUP(D6, Config!A:B, 2, FALSE), "")</f>
        <v/>
      </c>
      <c r="G6" s="15">
        <f>IF(E6="", "", WORKDAY(E6, F6))</f>
        <v/>
      </c>
      <c r="H6" s="15" t="n"/>
      <c r="I6" s="15" t="n"/>
      <c r="J6" s="16" t="n"/>
    </row>
    <row r="7">
      <c r="A7" s="15" t="n"/>
      <c r="B7" s="16" t="n"/>
      <c r="C7" s="16" t="n"/>
      <c r="D7" s="15" t="n"/>
      <c r="E7" s="15" t="n"/>
      <c r="F7" s="15">
        <f>IFERROR(VLOOKUP(D7, Config!A:B, 2, FALSE), "")</f>
        <v/>
      </c>
      <c r="G7" s="15">
        <f>IF(E7="", "", WORKDAY(E7, F7))</f>
        <v/>
      </c>
      <c r="H7" s="15" t="n"/>
      <c r="I7" s="15" t="n"/>
      <c r="J7" s="16" t="n"/>
    </row>
    <row r="8">
      <c r="A8" s="15" t="n"/>
      <c r="B8" s="16" t="n"/>
      <c r="C8" s="16" t="n"/>
      <c r="D8" s="15" t="n"/>
      <c r="E8" s="15" t="n"/>
      <c r="F8" s="15">
        <f>IFERROR(VLOOKUP(D8, Config!A:B, 2, FALSE), "")</f>
        <v/>
      </c>
      <c r="G8" s="15">
        <f>IF(E8="", "", WORKDAY(E8, F8))</f>
        <v/>
      </c>
      <c r="H8" s="15" t="n"/>
      <c r="I8" s="15" t="n"/>
      <c r="J8" s="16" t="n"/>
    </row>
    <row r="9">
      <c r="A9" s="15" t="n"/>
      <c r="B9" s="16" t="n"/>
      <c r="C9" s="16" t="n"/>
      <c r="D9" s="15" t="n"/>
      <c r="E9" s="15" t="n"/>
      <c r="F9" s="15">
        <f>IFERROR(VLOOKUP(D9, Config!A:B, 2, FALSE), "")</f>
        <v/>
      </c>
      <c r="G9" s="15">
        <f>IF(E9="", "", WORKDAY(E9, F9))</f>
        <v/>
      </c>
      <c r="H9" s="15" t="n"/>
      <c r="I9" s="15" t="n"/>
      <c r="J9" s="16" t="n"/>
    </row>
    <row r="10">
      <c r="A10" s="15" t="n"/>
      <c r="B10" s="16" t="n"/>
      <c r="C10" s="16" t="n"/>
      <c r="D10" s="15" t="n"/>
      <c r="E10" s="15" t="n"/>
      <c r="F10" s="15">
        <f>IFERROR(VLOOKUP(D10, Config!A:B, 2, FALSE), "")</f>
        <v/>
      </c>
      <c r="G10" s="15">
        <f>IF(E10="", "", WORKDAY(E10, F10))</f>
        <v/>
      </c>
      <c r="H10" s="15" t="n"/>
      <c r="I10" s="15" t="n"/>
      <c r="J10" s="16" t="n"/>
    </row>
    <row r="11">
      <c r="A11" s="15" t="n"/>
      <c r="B11" s="16" t="n"/>
      <c r="C11" s="16" t="n"/>
      <c r="D11" s="15" t="n"/>
      <c r="E11" s="15" t="n"/>
      <c r="F11" s="15">
        <f>IFERROR(VLOOKUP(D11, Config!A:B, 2, FALSE), "")</f>
        <v/>
      </c>
      <c r="G11" s="15">
        <f>IF(E11="", "", WORKDAY(E11, F11))</f>
        <v/>
      </c>
      <c r="H11" s="15" t="n"/>
      <c r="I11" s="15" t="n"/>
      <c r="J11" s="16" t="n"/>
    </row>
    <row r="12">
      <c r="A12" s="15" t="n"/>
      <c r="B12" s="16" t="n"/>
      <c r="C12" s="16" t="n"/>
      <c r="D12" s="15" t="n"/>
      <c r="E12" s="15" t="n"/>
      <c r="F12" s="15">
        <f>IFERROR(VLOOKUP(D12, Config!A:B, 2, FALSE), "")</f>
        <v/>
      </c>
      <c r="G12" s="15">
        <f>IF(E12="", "", WORKDAY(E12, F12))</f>
        <v/>
      </c>
      <c r="H12" s="15" t="n"/>
      <c r="I12" s="15" t="n"/>
      <c r="J12" s="16" t="n"/>
    </row>
    <row r="13">
      <c r="A13" s="15" t="n"/>
      <c r="B13" s="16" t="n"/>
      <c r="C13" s="16" t="n"/>
      <c r="D13" s="15" t="n"/>
      <c r="E13" s="15" t="n"/>
      <c r="F13" s="15">
        <f>IFERROR(VLOOKUP(D13, Config!A:B, 2, FALSE), "")</f>
        <v/>
      </c>
      <c r="G13" s="15">
        <f>IF(E13="", "", WORKDAY(E13, F13))</f>
        <v/>
      </c>
      <c r="H13" s="15" t="n"/>
      <c r="I13" s="15" t="n"/>
      <c r="J13" s="16" t="n"/>
    </row>
    <row r="14">
      <c r="A14" s="15" t="n"/>
      <c r="B14" s="16" t="n"/>
      <c r="C14" s="16" t="n"/>
      <c r="D14" s="15" t="n"/>
      <c r="E14" s="15" t="n"/>
      <c r="F14" s="15">
        <f>IFERROR(VLOOKUP(D14, Config!A:B, 2, FALSE), "")</f>
        <v/>
      </c>
      <c r="G14" s="15">
        <f>IF(E14="", "", WORKDAY(E14, F14))</f>
        <v/>
      </c>
      <c r="H14" s="15" t="n"/>
      <c r="I14" s="15" t="n"/>
      <c r="J14" s="16" t="n"/>
    </row>
    <row r="15">
      <c r="A15" s="15" t="n"/>
      <c r="B15" s="16" t="n"/>
      <c r="C15" s="16" t="n"/>
      <c r="D15" s="15" t="n"/>
      <c r="E15" s="15" t="n"/>
      <c r="F15" s="15">
        <f>IFERROR(VLOOKUP(D15, Config!A:B, 2, FALSE), "")</f>
        <v/>
      </c>
      <c r="G15" s="15">
        <f>IF(E15="", "", WORKDAY(E15, F15))</f>
        <v/>
      </c>
      <c r="H15" s="15" t="n"/>
      <c r="I15" s="15" t="n"/>
      <c r="J15" s="16" t="n"/>
    </row>
    <row r="16">
      <c r="A16" s="15" t="n"/>
      <c r="B16" s="16" t="n"/>
      <c r="C16" s="16" t="n"/>
      <c r="D16" s="15" t="n"/>
      <c r="E16" s="15" t="n"/>
      <c r="F16" s="15">
        <f>IFERROR(VLOOKUP(D16, Config!A:B, 2, FALSE), "")</f>
        <v/>
      </c>
      <c r="G16" s="15">
        <f>IF(E16="", "", WORKDAY(E16, F16))</f>
        <v/>
      </c>
      <c r="H16" s="15" t="n"/>
      <c r="I16" s="15" t="n"/>
      <c r="J16" s="16" t="n"/>
    </row>
    <row r="17">
      <c r="A17" s="15" t="n"/>
      <c r="B17" s="16" t="n"/>
      <c r="C17" s="16" t="n"/>
      <c r="D17" s="15" t="n"/>
      <c r="E17" s="15" t="n"/>
      <c r="F17" s="15">
        <f>IFERROR(VLOOKUP(D17, Config!A:B, 2, FALSE), "")</f>
        <v/>
      </c>
      <c r="G17" s="15">
        <f>IF(E17="", "", WORKDAY(E17, F17))</f>
        <v/>
      </c>
      <c r="H17" s="15" t="n"/>
      <c r="I17" s="15" t="n"/>
      <c r="J17" s="16" t="n"/>
    </row>
    <row r="18">
      <c r="A18" s="15" t="n"/>
      <c r="B18" s="16" t="n"/>
      <c r="C18" s="16" t="n"/>
      <c r="D18" s="15" t="n"/>
      <c r="E18" s="15" t="n"/>
      <c r="F18" s="15">
        <f>IFERROR(VLOOKUP(D18, Config!A:B, 2, FALSE), "")</f>
        <v/>
      </c>
      <c r="G18" s="15">
        <f>IF(E18="", "", WORKDAY(E18, F18))</f>
        <v/>
      </c>
      <c r="H18" s="15" t="n"/>
      <c r="I18" s="15" t="n"/>
      <c r="J18" s="16" t="n"/>
    </row>
    <row r="19">
      <c r="A19" s="15" t="n"/>
      <c r="B19" s="16" t="n"/>
      <c r="C19" s="16" t="n"/>
      <c r="D19" s="15" t="n"/>
      <c r="E19" s="15" t="n"/>
      <c r="F19" s="15">
        <f>IFERROR(VLOOKUP(D19, Config!A:B, 2, FALSE), "")</f>
        <v/>
      </c>
      <c r="G19" s="15">
        <f>IF(E19="", "", WORKDAY(E19, F19))</f>
        <v/>
      </c>
      <c r="H19" s="15" t="n"/>
      <c r="I19" s="15" t="n"/>
      <c r="J19" s="16" t="n"/>
    </row>
    <row r="20">
      <c r="A20" s="15" t="n"/>
      <c r="B20" s="16" t="n"/>
      <c r="C20" s="16" t="n"/>
      <c r="D20" s="15" t="n"/>
      <c r="E20" s="15" t="n"/>
      <c r="F20" s="15">
        <f>IFERROR(VLOOKUP(D20, Config!A:B, 2, FALSE), "")</f>
        <v/>
      </c>
      <c r="G20" s="15">
        <f>IF(E20="", "", WORKDAY(E20, F20))</f>
        <v/>
      </c>
      <c r="H20" s="15" t="n"/>
      <c r="I20" s="15" t="n"/>
      <c r="J20" s="16" t="n"/>
    </row>
    <row r="21">
      <c r="A21" s="15" t="n"/>
      <c r="B21" s="16" t="n"/>
      <c r="C21" s="16" t="n"/>
      <c r="D21" s="15" t="n"/>
      <c r="E21" s="15" t="n"/>
      <c r="F21" s="15">
        <f>IFERROR(VLOOKUP(D21, Config!A:B, 2, FALSE), "")</f>
        <v/>
      </c>
      <c r="G21" s="15">
        <f>IF(E21="", "", WORKDAY(E21, F21))</f>
        <v/>
      </c>
      <c r="H21" s="15" t="n"/>
      <c r="I21" s="15" t="n"/>
      <c r="J21" s="16" t="n"/>
    </row>
    <row r="22">
      <c r="A22" s="15" t="n"/>
      <c r="B22" s="16" t="n"/>
      <c r="C22" s="16" t="n"/>
      <c r="D22" s="15" t="n"/>
      <c r="E22" s="15" t="n"/>
      <c r="F22" s="15">
        <f>IFERROR(VLOOKUP(D22, Config!A:B, 2, FALSE), "")</f>
        <v/>
      </c>
      <c r="G22" s="15">
        <f>IF(E22="", "", WORKDAY(E22, F22))</f>
        <v/>
      </c>
      <c r="H22" s="15" t="n"/>
      <c r="I22" s="15" t="n"/>
      <c r="J22" s="16" t="n"/>
    </row>
    <row r="23">
      <c r="A23" s="15" t="n"/>
      <c r="B23" s="16" t="n"/>
      <c r="C23" s="16" t="n"/>
      <c r="D23" s="15" t="n"/>
      <c r="E23" s="15" t="n"/>
      <c r="F23" s="15">
        <f>IFERROR(VLOOKUP(D23, Config!A:B, 2, FALSE), "")</f>
        <v/>
      </c>
      <c r="G23" s="15">
        <f>IF(E23="", "", WORKDAY(E23, F23))</f>
        <v/>
      </c>
      <c r="H23" s="15" t="n"/>
      <c r="I23" s="15" t="n"/>
      <c r="J23" s="16" t="n"/>
    </row>
    <row r="24">
      <c r="A24" s="15" t="n"/>
      <c r="B24" s="16" t="n"/>
      <c r="C24" s="16" t="n"/>
      <c r="D24" s="15" t="n"/>
      <c r="E24" s="15" t="n"/>
      <c r="F24" s="15">
        <f>IFERROR(VLOOKUP(D24, Config!A:B, 2, FALSE), "")</f>
        <v/>
      </c>
      <c r="G24" s="15">
        <f>IF(E24="", "", WORKDAY(E24, F24))</f>
        <v/>
      </c>
      <c r="H24" s="15" t="n"/>
      <c r="I24" s="15" t="n"/>
      <c r="J24" s="16" t="n"/>
    </row>
    <row r="25">
      <c r="A25" s="15" t="n"/>
      <c r="B25" s="16" t="n"/>
      <c r="C25" s="16" t="n"/>
      <c r="D25" s="15" t="n"/>
      <c r="E25" s="15" t="n"/>
      <c r="F25" s="15">
        <f>IFERROR(VLOOKUP(D25, Config!A:B, 2, FALSE), "")</f>
        <v/>
      </c>
      <c r="G25" s="15">
        <f>IF(E25="", "", WORKDAY(E25, F25))</f>
        <v/>
      </c>
      <c r="H25" s="15" t="n"/>
      <c r="I25" s="15" t="n"/>
      <c r="J25" s="16" t="n"/>
    </row>
    <row r="26">
      <c r="A26" s="15" t="n"/>
      <c r="B26" s="16" t="n"/>
      <c r="C26" s="16" t="n"/>
      <c r="D26" s="15" t="n"/>
      <c r="E26" s="15" t="n"/>
      <c r="F26" s="15">
        <f>IFERROR(VLOOKUP(D26, Config!A:B, 2, FALSE), "")</f>
        <v/>
      </c>
      <c r="G26" s="15">
        <f>IF(E26="", "", WORKDAY(E26, F26))</f>
        <v/>
      </c>
      <c r="H26" s="15" t="n"/>
      <c r="I26" s="15" t="n"/>
      <c r="J26" s="16" t="n"/>
    </row>
    <row r="27">
      <c r="A27" s="15" t="n"/>
      <c r="B27" s="16" t="n"/>
      <c r="C27" s="16" t="n"/>
      <c r="D27" s="15" t="n"/>
      <c r="E27" s="15" t="n"/>
      <c r="F27" s="15">
        <f>IFERROR(VLOOKUP(D27, Config!A:B, 2, FALSE), "")</f>
        <v/>
      </c>
      <c r="G27" s="15">
        <f>IF(E27="", "", WORKDAY(E27, F27))</f>
        <v/>
      </c>
      <c r="H27" s="15" t="n"/>
      <c r="I27" s="15" t="n"/>
      <c r="J27" s="16" t="n"/>
    </row>
    <row r="28">
      <c r="A28" s="15" t="n"/>
      <c r="B28" s="16" t="n"/>
      <c r="C28" s="16" t="n"/>
      <c r="D28" s="15" t="n"/>
      <c r="E28" s="15" t="n"/>
      <c r="F28" s="15">
        <f>IFERROR(VLOOKUP(D28, Config!A:B, 2, FALSE), "")</f>
        <v/>
      </c>
      <c r="G28" s="15">
        <f>IF(E28="", "", WORKDAY(E28, F28))</f>
        <v/>
      </c>
      <c r="H28" s="15" t="n"/>
      <c r="I28" s="15" t="n"/>
      <c r="J28" s="16" t="n"/>
    </row>
    <row r="29">
      <c r="A29" s="15" t="n"/>
      <c r="B29" s="16" t="n"/>
      <c r="C29" s="16" t="n"/>
      <c r="D29" s="15" t="n"/>
      <c r="E29" s="15" t="n"/>
      <c r="F29" s="15">
        <f>IFERROR(VLOOKUP(D29, Config!A:B, 2, FALSE), "")</f>
        <v/>
      </c>
      <c r="G29" s="15">
        <f>IF(E29="", "", WORKDAY(E29, F29))</f>
        <v/>
      </c>
      <c r="H29" s="15" t="n"/>
      <c r="I29" s="15" t="n"/>
      <c r="J29" s="16" t="n"/>
    </row>
    <row r="30">
      <c r="A30" s="15" t="n"/>
      <c r="B30" s="16" t="n"/>
      <c r="C30" s="16" t="n"/>
      <c r="D30" s="15" t="n"/>
      <c r="E30" s="15" t="n"/>
      <c r="F30" s="15">
        <f>IFERROR(VLOOKUP(D30, Config!A:B, 2, FALSE), "")</f>
        <v/>
      </c>
      <c r="G30" s="15">
        <f>IF(E30="", "", WORKDAY(E30, F30))</f>
        <v/>
      </c>
      <c r="H30" s="15" t="n"/>
      <c r="I30" s="15" t="n"/>
      <c r="J30" s="16" t="n"/>
    </row>
    <row r="31">
      <c r="A31" s="15" t="n"/>
      <c r="B31" s="16" t="n"/>
      <c r="C31" s="16" t="n"/>
      <c r="D31" s="15" t="n"/>
      <c r="E31" s="15" t="n"/>
      <c r="F31" s="15">
        <f>IFERROR(VLOOKUP(D31, Config!A:B, 2, FALSE), "")</f>
        <v/>
      </c>
      <c r="G31" s="15">
        <f>IF(E31="", "", WORKDAY(E31, F31))</f>
        <v/>
      </c>
      <c r="H31" s="15" t="n"/>
      <c r="I31" s="15" t="n"/>
      <c r="J31" s="16" t="n"/>
    </row>
    <row r="32">
      <c r="A32" s="15" t="n"/>
      <c r="B32" s="16" t="n"/>
      <c r="C32" s="16" t="n"/>
      <c r="D32" s="15" t="n"/>
      <c r="E32" s="15" t="n"/>
      <c r="F32" s="15">
        <f>IFERROR(VLOOKUP(D32, Config!A:B, 2, FALSE), "")</f>
        <v/>
      </c>
      <c r="G32" s="15">
        <f>IF(E32="", "", WORKDAY(E32, F32))</f>
        <v/>
      </c>
      <c r="H32" s="15" t="n"/>
      <c r="I32" s="15" t="n"/>
      <c r="J32" s="16" t="n"/>
    </row>
    <row r="33">
      <c r="A33" s="15" t="n"/>
      <c r="B33" s="16" t="n"/>
      <c r="C33" s="16" t="n"/>
      <c r="D33" s="15" t="n"/>
      <c r="E33" s="15" t="n"/>
      <c r="F33" s="15">
        <f>IFERROR(VLOOKUP(D33, Config!A:B, 2, FALSE), "")</f>
        <v/>
      </c>
      <c r="G33" s="15">
        <f>IF(E33="", "", WORKDAY(E33, F33))</f>
        <v/>
      </c>
      <c r="H33" s="15" t="n"/>
      <c r="I33" s="15" t="n"/>
      <c r="J33" s="16" t="n"/>
    </row>
    <row r="34">
      <c r="A34" s="15" t="n"/>
      <c r="B34" s="16" t="n"/>
      <c r="C34" s="16" t="n"/>
      <c r="D34" s="15" t="n"/>
      <c r="E34" s="15" t="n"/>
      <c r="F34" s="15">
        <f>IFERROR(VLOOKUP(D34, Config!A:B, 2, FALSE), "")</f>
        <v/>
      </c>
      <c r="G34" s="15">
        <f>IF(E34="", "", WORKDAY(E34, F34))</f>
        <v/>
      </c>
      <c r="H34" s="15" t="n"/>
      <c r="I34" s="15" t="n"/>
      <c r="J34" s="16" t="n"/>
    </row>
    <row r="35">
      <c r="A35" s="15" t="n"/>
      <c r="B35" s="16" t="n"/>
      <c r="C35" s="16" t="n"/>
      <c r="D35" s="15" t="n"/>
      <c r="E35" s="15" t="n"/>
      <c r="F35" s="15">
        <f>IFERROR(VLOOKUP(D35, Config!A:B, 2, FALSE), "")</f>
        <v/>
      </c>
      <c r="G35" s="15">
        <f>IF(E35="", "", WORKDAY(E35, F35))</f>
        <v/>
      </c>
      <c r="H35" s="15" t="n"/>
      <c r="I35" s="15" t="n"/>
      <c r="J35" s="16" t="n"/>
    </row>
    <row r="36">
      <c r="A36" s="15" t="n"/>
      <c r="B36" s="16" t="n"/>
      <c r="C36" s="16" t="n"/>
      <c r="D36" s="15" t="n"/>
      <c r="E36" s="15" t="n"/>
      <c r="F36" s="15">
        <f>IFERROR(VLOOKUP(D36, Config!A:B, 2, FALSE), "")</f>
        <v/>
      </c>
      <c r="G36" s="15">
        <f>IF(E36="", "", WORKDAY(E36, F36))</f>
        <v/>
      </c>
      <c r="H36" s="15" t="n"/>
      <c r="I36" s="15" t="n"/>
      <c r="J36" s="16" t="n"/>
    </row>
    <row r="37">
      <c r="A37" s="15" t="n"/>
      <c r="B37" s="16" t="n"/>
      <c r="C37" s="16" t="n"/>
      <c r="D37" s="15" t="n"/>
      <c r="E37" s="15" t="n"/>
      <c r="F37" s="15">
        <f>IFERROR(VLOOKUP(D37, Config!A:B, 2, FALSE), "")</f>
        <v/>
      </c>
      <c r="G37" s="15">
        <f>IF(E37="", "", WORKDAY(E37, F37))</f>
        <v/>
      </c>
      <c r="H37" s="15" t="n"/>
      <c r="I37" s="15" t="n"/>
      <c r="J37" s="16" t="n"/>
    </row>
    <row r="38">
      <c r="A38" s="15" t="n"/>
      <c r="B38" s="16" t="n"/>
      <c r="C38" s="16" t="n"/>
      <c r="D38" s="15" t="n"/>
      <c r="E38" s="15" t="n"/>
      <c r="F38" s="15">
        <f>IFERROR(VLOOKUP(D38, Config!A:B, 2, FALSE), "")</f>
        <v/>
      </c>
      <c r="G38" s="15">
        <f>IF(E38="", "", WORKDAY(E38, F38))</f>
        <v/>
      </c>
      <c r="H38" s="15" t="n"/>
      <c r="I38" s="15" t="n"/>
      <c r="J38" s="16" t="n"/>
    </row>
    <row r="39">
      <c r="A39" s="15" t="n"/>
      <c r="B39" s="16" t="n"/>
      <c r="C39" s="16" t="n"/>
      <c r="D39" s="15" t="n"/>
      <c r="E39" s="15" t="n"/>
      <c r="F39" s="15">
        <f>IFERROR(VLOOKUP(D39, Config!A:B, 2, FALSE), "")</f>
        <v/>
      </c>
      <c r="G39" s="15">
        <f>IF(E39="", "", WORKDAY(E39, F39))</f>
        <v/>
      </c>
      <c r="H39" s="15" t="n"/>
      <c r="I39" s="15" t="n"/>
      <c r="J39" s="16" t="n"/>
    </row>
    <row r="40">
      <c r="A40" s="15" t="n"/>
      <c r="B40" s="16" t="n"/>
      <c r="C40" s="16" t="n"/>
      <c r="D40" s="15" t="n"/>
      <c r="E40" s="15" t="n"/>
      <c r="F40" s="15">
        <f>IFERROR(VLOOKUP(D40, Config!A:B, 2, FALSE), "")</f>
        <v/>
      </c>
      <c r="G40" s="15">
        <f>IF(E40="", "", WORKDAY(E40, F40))</f>
        <v/>
      </c>
      <c r="H40" s="15" t="n"/>
      <c r="I40" s="15" t="n"/>
      <c r="J40" s="16" t="n"/>
    </row>
    <row r="41">
      <c r="A41" s="15" t="n"/>
      <c r="B41" s="16" t="n"/>
      <c r="C41" s="16" t="n"/>
      <c r="D41" s="15" t="n"/>
      <c r="E41" s="15" t="n"/>
      <c r="F41" s="15">
        <f>IFERROR(VLOOKUP(D41, Config!A:B, 2, FALSE), "")</f>
        <v/>
      </c>
      <c r="G41" s="15">
        <f>IF(E41="", "", WORKDAY(E41, F41))</f>
        <v/>
      </c>
      <c r="H41" s="15" t="n"/>
      <c r="I41" s="15" t="n"/>
      <c r="J41" s="16" t="n"/>
    </row>
    <row r="42">
      <c r="A42" s="15" t="n"/>
      <c r="B42" s="16" t="n"/>
      <c r="C42" s="16" t="n"/>
      <c r="D42" s="15" t="n"/>
      <c r="E42" s="15" t="n"/>
      <c r="F42" s="15">
        <f>IFERROR(VLOOKUP(D42, Config!A:B, 2, FALSE), "")</f>
        <v/>
      </c>
      <c r="G42" s="15">
        <f>IF(E42="", "", WORKDAY(E42, F42))</f>
        <v/>
      </c>
      <c r="H42" s="15" t="n"/>
      <c r="I42" s="15" t="n"/>
      <c r="J42" s="16" t="n"/>
    </row>
    <row r="43">
      <c r="A43" s="15" t="n"/>
      <c r="B43" s="16" t="n"/>
      <c r="C43" s="16" t="n"/>
      <c r="D43" s="15" t="n"/>
      <c r="E43" s="15" t="n"/>
      <c r="F43" s="15">
        <f>IFERROR(VLOOKUP(D43, Config!A:B, 2, FALSE), "")</f>
        <v/>
      </c>
      <c r="G43" s="15">
        <f>IF(E43="", "", WORKDAY(E43, F43))</f>
        <v/>
      </c>
      <c r="H43" s="15" t="n"/>
      <c r="I43" s="15" t="n"/>
      <c r="J43" s="16" t="n"/>
    </row>
    <row r="44">
      <c r="A44" s="15" t="n"/>
      <c r="B44" s="16" t="n"/>
      <c r="C44" s="16" t="n"/>
      <c r="D44" s="15" t="n"/>
      <c r="E44" s="15" t="n"/>
      <c r="F44" s="15">
        <f>IFERROR(VLOOKUP(D44, Config!A:B, 2, FALSE), "")</f>
        <v/>
      </c>
      <c r="G44" s="15">
        <f>IF(E44="", "", WORKDAY(E44, F44))</f>
        <v/>
      </c>
      <c r="H44" s="15" t="n"/>
      <c r="I44" s="15" t="n"/>
      <c r="J44" s="16" t="n"/>
    </row>
    <row r="45">
      <c r="A45" s="15" t="n"/>
      <c r="B45" s="16" t="n"/>
      <c r="C45" s="16" t="n"/>
      <c r="D45" s="15" t="n"/>
      <c r="E45" s="15" t="n"/>
      <c r="F45" s="15">
        <f>IFERROR(VLOOKUP(D45, Config!A:B, 2, FALSE), "")</f>
        <v/>
      </c>
      <c r="G45" s="15">
        <f>IF(E45="", "", WORKDAY(E45, F45))</f>
        <v/>
      </c>
      <c r="H45" s="15" t="n"/>
      <c r="I45" s="15" t="n"/>
      <c r="J45" s="16" t="n"/>
    </row>
    <row r="46">
      <c r="A46" s="15" t="n"/>
      <c r="B46" s="16" t="n"/>
      <c r="C46" s="16" t="n"/>
      <c r="D46" s="15" t="n"/>
      <c r="E46" s="15" t="n"/>
      <c r="F46" s="15">
        <f>IFERROR(VLOOKUP(D46, Config!A:B, 2, FALSE), "")</f>
        <v/>
      </c>
      <c r="G46" s="15">
        <f>IF(E46="", "", WORKDAY(E46, F46))</f>
        <v/>
      </c>
      <c r="H46" s="15" t="n"/>
      <c r="I46" s="15" t="n"/>
      <c r="J46" s="16" t="n"/>
    </row>
    <row r="47">
      <c r="A47" s="15" t="n"/>
      <c r="B47" s="16" t="n"/>
      <c r="C47" s="16" t="n"/>
      <c r="D47" s="15" t="n"/>
      <c r="E47" s="15" t="n"/>
      <c r="F47" s="15">
        <f>IFERROR(VLOOKUP(D47, Config!A:B, 2, FALSE), "")</f>
        <v/>
      </c>
      <c r="G47" s="15">
        <f>IF(E47="", "", WORKDAY(E47, F47))</f>
        <v/>
      </c>
      <c r="H47" s="15" t="n"/>
      <c r="I47" s="15" t="n"/>
      <c r="J47" s="16" t="n"/>
    </row>
    <row r="48">
      <c r="A48" s="15" t="n"/>
      <c r="B48" s="16" t="n"/>
      <c r="C48" s="16" t="n"/>
      <c r="D48" s="15" t="n"/>
      <c r="E48" s="15" t="n"/>
      <c r="F48" s="15">
        <f>IFERROR(VLOOKUP(D48, Config!A:B, 2, FALSE), "")</f>
        <v/>
      </c>
      <c r="G48" s="15">
        <f>IF(E48="", "", WORKDAY(E48, F48))</f>
        <v/>
      </c>
      <c r="H48" s="15" t="n"/>
      <c r="I48" s="15" t="n"/>
      <c r="J48" s="16" t="n"/>
    </row>
    <row r="49">
      <c r="A49" s="15" t="n"/>
      <c r="B49" s="16" t="n"/>
      <c r="C49" s="16" t="n"/>
      <c r="D49" s="15" t="n"/>
      <c r="E49" s="15" t="n"/>
      <c r="F49" s="15">
        <f>IFERROR(VLOOKUP(D49, Config!A:B, 2, FALSE), "")</f>
        <v/>
      </c>
      <c r="G49" s="15">
        <f>IF(E49="", "", WORKDAY(E49, F49))</f>
        <v/>
      </c>
      <c r="H49" s="15" t="n"/>
      <c r="I49" s="15" t="n"/>
      <c r="J49" s="16" t="n"/>
    </row>
    <row r="50">
      <c r="A50" s="15" t="n"/>
      <c r="B50" s="16" t="n"/>
      <c r="C50" s="16" t="n"/>
      <c r="D50" s="15" t="n"/>
      <c r="E50" s="15" t="n"/>
      <c r="F50" s="15">
        <f>IFERROR(VLOOKUP(D50, Config!A:B, 2, FALSE), "")</f>
        <v/>
      </c>
      <c r="G50" s="15">
        <f>IF(E50="", "", WORKDAY(E50, F50))</f>
        <v/>
      </c>
      <c r="H50" s="15" t="n"/>
      <c r="I50" s="15" t="n"/>
      <c r="J50" s="16" t="n"/>
    </row>
    <row r="51">
      <c r="A51" s="15" t="n"/>
      <c r="B51" s="16" t="n"/>
      <c r="C51" s="16" t="n"/>
      <c r="D51" s="15" t="n"/>
      <c r="E51" s="15" t="n"/>
      <c r="F51" s="15">
        <f>IFERROR(VLOOKUP(D51, Config!A:B, 2, FALSE), "")</f>
        <v/>
      </c>
      <c r="G51" s="15">
        <f>IF(E51="", "", WORKDAY(E51, F51))</f>
        <v/>
      </c>
      <c r="H51" s="15" t="n"/>
      <c r="I51" s="15" t="n"/>
      <c r="J51" s="16" t="n"/>
    </row>
    <row r="52">
      <c r="A52" s="15" t="n"/>
      <c r="B52" s="16" t="n"/>
      <c r="C52" s="16" t="n"/>
      <c r="D52" s="15" t="n"/>
      <c r="E52" s="15" t="n"/>
      <c r="F52" s="15">
        <f>IFERROR(VLOOKUP(D52, Config!A:B, 2, FALSE), "")</f>
        <v/>
      </c>
      <c r="G52" s="15">
        <f>IF(E52="", "", WORKDAY(E52, F52))</f>
        <v/>
      </c>
      <c r="H52" s="15" t="n"/>
      <c r="I52" s="15" t="n"/>
      <c r="J52" s="16" t="n"/>
    </row>
    <row r="53">
      <c r="A53" s="15" t="n"/>
      <c r="B53" s="16" t="n"/>
      <c r="C53" s="16" t="n"/>
      <c r="D53" s="15" t="n"/>
      <c r="E53" s="15" t="n"/>
      <c r="F53" s="15">
        <f>IFERROR(VLOOKUP(D53, Config!A:B, 2, FALSE), "")</f>
        <v/>
      </c>
      <c r="G53" s="15">
        <f>IF(E53="", "", WORKDAY(E53, F53))</f>
        <v/>
      </c>
      <c r="H53" s="15" t="n"/>
      <c r="I53" s="15" t="n"/>
      <c r="J53" s="16" t="n"/>
    </row>
    <row r="54">
      <c r="A54" s="15" t="n"/>
      <c r="B54" s="16" t="n"/>
      <c r="C54" s="16" t="n"/>
      <c r="D54" s="15" t="n"/>
      <c r="E54" s="15" t="n"/>
      <c r="F54" s="15">
        <f>IFERROR(VLOOKUP(D54, Config!A:B, 2, FALSE), "")</f>
        <v/>
      </c>
      <c r="G54" s="15">
        <f>IF(E54="", "", WORKDAY(E54, F54))</f>
        <v/>
      </c>
      <c r="H54" s="15" t="n"/>
      <c r="I54" s="15" t="n"/>
      <c r="J54" s="16" t="n"/>
    </row>
    <row r="55">
      <c r="A55" s="15" t="n"/>
      <c r="B55" s="16" t="n"/>
      <c r="C55" s="16" t="n"/>
      <c r="D55" s="15" t="n"/>
      <c r="E55" s="15" t="n"/>
      <c r="F55" s="15">
        <f>IFERROR(VLOOKUP(D55, Config!A:B, 2, FALSE), "")</f>
        <v/>
      </c>
      <c r="G55" s="15">
        <f>IF(E55="", "", WORKDAY(E55, F55))</f>
        <v/>
      </c>
      <c r="H55" s="15" t="n"/>
      <c r="I55" s="15" t="n"/>
      <c r="J55" s="16" t="n"/>
    </row>
    <row r="56">
      <c r="A56" s="15" t="n"/>
      <c r="B56" s="16" t="n"/>
      <c r="C56" s="16" t="n"/>
      <c r="D56" s="15" t="n"/>
      <c r="E56" s="15" t="n"/>
      <c r="F56" s="15">
        <f>IFERROR(VLOOKUP(D56, Config!A:B, 2, FALSE), "")</f>
        <v/>
      </c>
      <c r="G56" s="15">
        <f>IF(E56="", "", WORKDAY(E56, F56))</f>
        <v/>
      </c>
      <c r="H56" s="15" t="n"/>
      <c r="I56" s="15" t="n"/>
      <c r="J56" s="16" t="n"/>
    </row>
    <row r="57">
      <c r="A57" s="15" t="n"/>
      <c r="B57" s="16" t="n"/>
      <c r="C57" s="16" t="n"/>
      <c r="D57" s="15" t="n"/>
      <c r="E57" s="15" t="n"/>
      <c r="F57" s="15">
        <f>IFERROR(VLOOKUP(D57, Config!A:B, 2, FALSE), "")</f>
        <v/>
      </c>
      <c r="G57" s="15">
        <f>IF(E57="", "", WORKDAY(E57, F57))</f>
        <v/>
      </c>
      <c r="H57" s="15" t="n"/>
      <c r="I57" s="15" t="n"/>
      <c r="J57" s="16" t="n"/>
    </row>
    <row r="58">
      <c r="A58" s="15" t="n"/>
      <c r="B58" s="16" t="n"/>
      <c r="C58" s="16" t="n"/>
      <c r="D58" s="15" t="n"/>
      <c r="E58" s="15" t="n"/>
      <c r="F58" s="15">
        <f>IFERROR(VLOOKUP(D58, Config!A:B, 2, FALSE), "")</f>
        <v/>
      </c>
      <c r="G58" s="15">
        <f>IF(E58="", "", WORKDAY(E58, F58))</f>
        <v/>
      </c>
      <c r="H58" s="15" t="n"/>
      <c r="I58" s="15" t="n"/>
      <c r="J58" s="16" t="n"/>
    </row>
    <row r="59">
      <c r="A59" s="15" t="n"/>
      <c r="B59" s="16" t="n"/>
      <c r="C59" s="16" t="n"/>
      <c r="D59" s="15" t="n"/>
      <c r="E59" s="15" t="n"/>
      <c r="F59" s="15">
        <f>IFERROR(VLOOKUP(D59, Config!A:B, 2, FALSE), "")</f>
        <v/>
      </c>
      <c r="G59" s="15">
        <f>IF(E59="", "", WORKDAY(E59, F59))</f>
        <v/>
      </c>
      <c r="H59" s="15" t="n"/>
      <c r="I59" s="15" t="n"/>
      <c r="J59" s="16" t="n"/>
    </row>
    <row r="60">
      <c r="A60" s="15" t="n"/>
      <c r="B60" s="16" t="n"/>
      <c r="C60" s="16" t="n"/>
      <c r="D60" s="15" t="n"/>
      <c r="E60" s="15" t="n"/>
      <c r="F60" s="15">
        <f>IFERROR(VLOOKUP(D60, Config!A:B, 2, FALSE), "")</f>
        <v/>
      </c>
      <c r="G60" s="15">
        <f>IF(E60="", "", WORKDAY(E60, F60))</f>
        <v/>
      </c>
      <c r="H60" s="15" t="n"/>
      <c r="I60" s="15" t="n"/>
      <c r="J60" s="16" t="n"/>
    </row>
    <row r="61">
      <c r="A61" s="15" t="n"/>
      <c r="B61" s="16" t="n"/>
      <c r="C61" s="16" t="n"/>
      <c r="D61" s="15" t="n"/>
      <c r="E61" s="15" t="n"/>
      <c r="F61" s="15">
        <f>IFERROR(VLOOKUP(D61, Config!A:B, 2, FALSE), "")</f>
        <v/>
      </c>
      <c r="G61" s="15">
        <f>IF(E61="", "", WORKDAY(E61, F61))</f>
        <v/>
      </c>
      <c r="H61" s="15" t="n"/>
      <c r="I61" s="15" t="n"/>
      <c r="J61" s="16" t="n"/>
    </row>
    <row r="62">
      <c r="A62" s="15" t="n"/>
      <c r="B62" s="16" t="n"/>
      <c r="C62" s="16" t="n"/>
      <c r="D62" s="15" t="n"/>
      <c r="E62" s="15" t="n"/>
      <c r="F62" s="15">
        <f>IFERROR(VLOOKUP(D62, Config!A:B, 2, FALSE), "")</f>
        <v/>
      </c>
      <c r="G62" s="15">
        <f>IF(E62="", "", WORKDAY(E62, F62))</f>
        <v/>
      </c>
      <c r="H62" s="15" t="n"/>
      <c r="I62" s="15" t="n"/>
      <c r="J62" s="16" t="n"/>
    </row>
    <row r="63">
      <c r="A63" s="15" t="n"/>
      <c r="B63" s="16" t="n"/>
      <c r="C63" s="16" t="n"/>
      <c r="D63" s="15" t="n"/>
      <c r="E63" s="15" t="n"/>
      <c r="F63" s="15">
        <f>IFERROR(VLOOKUP(D63, Config!A:B, 2, FALSE), "")</f>
        <v/>
      </c>
      <c r="G63" s="15">
        <f>IF(E63="", "", WORKDAY(E63, F63))</f>
        <v/>
      </c>
      <c r="H63" s="15" t="n"/>
      <c r="I63" s="15" t="n"/>
      <c r="J63" s="16" t="n"/>
    </row>
    <row r="64">
      <c r="A64" s="15" t="n"/>
      <c r="B64" s="16" t="n"/>
      <c r="C64" s="16" t="n"/>
      <c r="D64" s="15" t="n"/>
      <c r="E64" s="15" t="n"/>
      <c r="F64" s="15">
        <f>IFERROR(VLOOKUP(D64, Config!A:B, 2, FALSE), "")</f>
        <v/>
      </c>
      <c r="G64" s="15">
        <f>IF(E64="", "", WORKDAY(E64, F64))</f>
        <v/>
      </c>
      <c r="H64" s="15" t="n"/>
      <c r="I64" s="15" t="n"/>
      <c r="J64" s="16" t="n"/>
    </row>
    <row r="65">
      <c r="A65" s="15" t="n"/>
      <c r="B65" s="16" t="n"/>
      <c r="C65" s="16" t="n"/>
      <c r="D65" s="15" t="n"/>
      <c r="E65" s="15" t="n"/>
      <c r="F65" s="15">
        <f>IFERROR(VLOOKUP(D65, Config!A:B, 2, FALSE), "")</f>
        <v/>
      </c>
      <c r="G65" s="15">
        <f>IF(E65="", "", WORKDAY(E65, F65))</f>
        <v/>
      </c>
      <c r="H65" s="15" t="n"/>
      <c r="I65" s="15" t="n"/>
      <c r="J65" s="16" t="n"/>
    </row>
    <row r="66">
      <c r="A66" s="15" t="n"/>
      <c r="B66" s="16" t="n"/>
      <c r="C66" s="16" t="n"/>
      <c r="D66" s="15" t="n"/>
      <c r="E66" s="15" t="n"/>
      <c r="F66" s="15">
        <f>IFERROR(VLOOKUP(D66, Config!A:B, 2, FALSE), "")</f>
        <v/>
      </c>
      <c r="G66" s="15">
        <f>IF(E66="", "", WORKDAY(E66, F66))</f>
        <v/>
      </c>
      <c r="H66" s="15" t="n"/>
      <c r="I66" s="15" t="n"/>
      <c r="J66" s="16" t="n"/>
    </row>
    <row r="67">
      <c r="A67" s="15" t="n"/>
      <c r="B67" s="16" t="n"/>
      <c r="C67" s="16" t="n"/>
      <c r="D67" s="15" t="n"/>
      <c r="E67" s="15" t="n"/>
      <c r="F67" s="15">
        <f>IFERROR(VLOOKUP(D67, Config!A:B, 2, FALSE), "")</f>
        <v/>
      </c>
      <c r="G67" s="15">
        <f>IF(E67="", "", WORKDAY(E67, F67))</f>
        <v/>
      </c>
      <c r="H67" s="15" t="n"/>
      <c r="I67" s="15" t="n"/>
      <c r="J67" s="16" t="n"/>
    </row>
    <row r="68">
      <c r="A68" s="15" t="n"/>
      <c r="B68" s="16" t="n"/>
      <c r="C68" s="16" t="n"/>
      <c r="D68" s="15" t="n"/>
      <c r="E68" s="15" t="n"/>
      <c r="F68" s="15">
        <f>IFERROR(VLOOKUP(D68, Config!A:B, 2, FALSE), "")</f>
        <v/>
      </c>
      <c r="G68" s="15">
        <f>IF(E68="", "", WORKDAY(E68, F68))</f>
        <v/>
      </c>
      <c r="H68" s="15" t="n"/>
      <c r="I68" s="15" t="n"/>
      <c r="J68" s="16" t="n"/>
    </row>
    <row r="69">
      <c r="A69" s="15" t="n"/>
      <c r="B69" s="16" t="n"/>
      <c r="C69" s="16" t="n"/>
      <c r="D69" s="15" t="n"/>
      <c r="E69" s="15" t="n"/>
      <c r="F69" s="15">
        <f>IFERROR(VLOOKUP(D69, Config!A:B, 2, FALSE), "")</f>
        <v/>
      </c>
      <c r="G69" s="15">
        <f>IF(E69="", "", WORKDAY(E69, F69))</f>
        <v/>
      </c>
      <c r="H69" s="15" t="n"/>
      <c r="I69" s="15" t="n"/>
      <c r="J69" s="16" t="n"/>
    </row>
    <row r="70">
      <c r="A70" s="15" t="n"/>
      <c r="B70" s="16" t="n"/>
      <c r="C70" s="16" t="n"/>
      <c r="D70" s="15" t="n"/>
      <c r="E70" s="15" t="n"/>
      <c r="F70" s="15">
        <f>IFERROR(VLOOKUP(D70, Config!A:B, 2, FALSE), "")</f>
        <v/>
      </c>
      <c r="G70" s="15">
        <f>IF(E70="", "", WORKDAY(E70, F70))</f>
        <v/>
      </c>
      <c r="H70" s="15" t="n"/>
      <c r="I70" s="15" t="n"/>
      <c r="J70" s="16" t="n"/>
    </row>
    <row r="71">
      <c r="A71" s="15" t="n"/>
      <c r="B71" s="16" t="n"/>
      <c r="C71" s="16" t="n"/>
      <c r="D71" s="15" t="n"/>
      <c r="E71" s="15" t="n"/>
      <c r="F71" s="15">
        <f>IFERROR(VLOOKUP(D71, Config!A:B, 2, FALSE), "")</f>
        <v/>
      </c>
      <c r="G71" s="15">
        <f>IF(E71="", "", WORKDAY(E71, F71))</f>
        <v/>
      </c>
      <c r="H71" s="15" t="n"/>
      <c r="I71" s="15" t="n"/>
      <c r="J71" s="16" t="n"/>
    </row>
    <row r="72">
      <c r="A72" s="15" t="n"/>
      <c r="B72" s="16" t="n"/>
      <c r="C72" s="16" t="n"/>
      <c r="D72" s="15" t="n"/>
      <c r="E72" s="15" t="n"/>
      <c r="F72" s="15">
        <f>IFERROR(VLOOKUP(D72, Config!A:B, 2, FALSE), "")</f>
        <v/>
      </c>
      <c r="G72" s="15">
        <f>IF(E72="", "", WORKDAY(E72, F72))</f>
        <v/>
      </c>
      <c r="H72" s="15" t="n"/>
      <c r="I72" s="15" t="n"/>
      <c r="J72" s="16" t="n"/>
    </row>
    <row r="73">
      <c r="A73" s="15" t="n"/>
      <c r="B73" s="16" t="n"/>
      <c r="C73" s="16" t="n"/>
      <c r="D73" s="15" t="n"/>
      <c r="E73" s="15" t="n"/>
      <c r="F73" s="15">
        <f>IFERROR(VLOOKUP(D73, Config!A:B, 2, FALSE), "")</f>
        <v/>
      </c>
      <c r="G73" s="15">
        <f>IF(E73="", "", WORKDAY(E73, F73))</f>
        <v/>
      </c>
      <c r="H73" s="15" t="n"/>
      <c r="I73" s="15" t="n"/>
      <c r="J73" s="16" t="n"/>
    </row>
    <row r="74">
      <c r="A74" s="15" t="n"/>
      <c r="B74" s="16" t="n"/>
      <c r="C74" s="16" t="n"/>
      <c r="D74" s="15" t="n"/>
      <c r="E74" s="15" t="n"/>
      <c r="F74" s="15">
        <f>IFERROR(VLOOKUP(D74, Config!A:B, 2, FALSE), "")</f>
        <v/>
      </c>
      <c r="G74" s="15">
        <f>IF(E74="", "", WORKDAY(E74, F74))</f>
        <v/>
      </c>
      <c r="H74" s="15" t="n"/>
      <c r="I74" s="15" t="n"/>
      <c r="J74" s="16" t="n"/>
    </row>
    <row r="75">
      <c r="A75" s="15" t="n"/>
      <c r="B75" s="16" t="n"/>
      <c r="C75" s="16" t="n"/>
      <c r="D75" s="15" t="n"/>
      <c r="E75" s="15" t="n"/>
      <c r="F75" s="15">
        <f>IFERROR(VLOOKUP(D75, Config!A:B, 2, FALSE), "")</f>
        <v/>
      </c>
      <c r="G75" s="15">
        <f>IF(E75="", "", WORKDAY(E75, F75))</f>
        <v/>
      </c>
      <c r="H75" s="15" t="n"/>
      <c r="I75" s="15" t="n"/>
      <c r="J75" s="16" t="n"/>
    </row>
    <row r="76">
      <c r="A76" s="15" t="n"/>
      <c r="B76" s="16" t="n"/>
      <c r="C76" s="16" t="n"/>
      <c r="D76" s="15" t="n"/>
      <c r="E76" s="15" t="n"/>
      <c r="F76" s="15">
        <f>IFERROR(VLOOKUP(D76, Config!A:B, 2, FALSE), "")</f>
        <v/>
      </c>
      <c r="G76" s="15">
        <f>IF(E76="", "", WORKDAY(E76, F76))</f>
        <v/>
      </c>
      <c r="H76" s="15" t="n"/>
      <c r="I76" s="15" t="n"/>
      <c r="J76" s="16" t="n"/>
    </row>
    <row r="77">
      <c r="A77" s="15" t="n"/>
      <c r="B77" s="16" t="n"/>
      <c r="C77" s="16" t="n"/>
      <c r="D77" s="15" t="n"/>
      <c r="E77" s="15" t="n"/>
      <c r="F77" s="15">
        <f>IFERROR(VLOOKUP(D77, Config!A:B, 2, FALSE), "")</f>
        <v/>
      </c>
      <c r="G77" s="15">
        <f>IF(E77="", "", WORKDAY(E77, F77))</f>
        <v/>
      </c>
      <c r="H77" s="15" t="n"/>
      <c r="I77" s="15" t="n"/>
      <c r="J77" s="16" t="n"/>
    </row>
    <row r="78">
      <c r="A78" s="15" t="n"/>
      <c r="B78" s="16" t="n"/>
      <c r="C78" s="16" t="n"/>
      <c r="D78" s="15" t="n"/>
      <c r="E78" s="15" t="n"/>
      <c r="F78" s="15">
        <f>IFERROR(VLOOKUP(D78, Config!A:B, 2, FALSE), "")</f>
        <v/>
      </c>
      <c r="G78" s="15">
        <f>IF(E78="", "", WORKDAY(E78, F78))</f>
        <v/>
      </c>
      <c r="H78" s="15" t="n"/>
      <c r="I78" s="15" t="n"/>
      <c r="J78" s="16" t="n"/>
    </row>
    <row r="79">
      <c r="A79" s="15" t="n"/>
      <c r="B79" s="16" t="n"/>
      <c r="C79" s="16" t="n"/>
      <c r="D79" s="15" t="n"/>
      <c r="E79" s="15" t="n"/>
      <c r="F79" s="15">
        <f>IFERROR(VLOOKUP(D79, Config!A:B, 2, FALSE), "")</f>
        <v/>
      </c>
      <c r="G79" s="15">
        <f>IF(E79="", "", WORKDAY(E79, F79))</f>
        <v/>
      </c>
      <c r="H79" s="15" t="n"/>
      <c r="I79" s="15" t="n"/>
      <c r="J79" s="16" t="n"/>
    </row>
    <row r="80">
      <c r="A80" s="15" t="n"/>
      <c r="B80" s="16" t="n"/>
      <c r="C80" s="16" t="n"/>
      <c r="D80" s="15" t="n"/>
      <c r="E80" s="15" t="n"/>
      <c r="F80" s="15">
        <f>IFERROR(VLOOKUP(D80, Config!A:B, 2, FALSE), "")</f>
        <v/>
      </c>
      <c r="G80" s="15">
        <f>IF(E80="", "", WORKDAY(E80, F80))</f>
        <v/>
      </c>
      <c r="H80" s="15" t="n"/>
      <c r="I80" s="15" t="n"/>
      <c r="J80" s="16" t="n"/>
    </row>
    <row r="81">
      <c r="A81" s="15" t="n"/>
      <c r="B81" s="16" t="n"/>
      <c r="C81" s="16" t="n"/>
      <c r="D81" s="15" t="n"/>
      <c r="E81" s="15" t="n"/>
      <c r="F81" s="15">
        <f>IFERROR(VLOOKUP(D81, Config!A:B, 2, FALSE), "")</f>
        <v/>
      </c>
      <c r="G81" s="15">
        <f>IF(E81="", "", WORKDAY(E81, F81))</f>
        <v/>
      </c>
      <c r="H81" s="15" t="n"/>
      <c r="I81" s="15" t="n"/>
      <c r="J81" s="16" t="n"/>
    </row>
    <row r="82">
      <c r="A82" s="15" t="n"/>
      <c r="B82" s="16" t="n"/>
      <c r="C82" s="16" t="n"/>
      <c r="D82" s="15" t="n"/>
      <c r="E82" s="15" t="n"/>
      <c r="F82" s="15">
        <f>IFERROR(VLOOKUP(D82, Config!A:B, 2, FALSE), "")</f>
        <v/>
      </c>
      <c r="G82" s="15">
        <f>IF(E82="", "", WORKDAY(E82, F82))</f>
        <v/>
      </c>
      <c r="H82" s="15" t="n"/>
      <c r="I82" s="15" t="n"/>
      <c r="J82" s="16" t="n"/>
    </row>
    <row r="83">
      <c r="A83" s="15" t="n"/>
      <c r="B83" s="16" t="n"/>
      <c r="C83" s="16" t="n"/>
      <c r="D83" s="15" t="n"/>
      <c r="E83" s="15" t="n"/>
      <c r="F83" s="15">
        <f>IFERROR(VLOOKUP(D83, Config!A:B, 2, FALSE), "")</f>
        <v/>
      </c>
      <c r="G83" s="15">
        <f>IF(E83="", "", WORKDAY(E83, F83))</f>
        <v/>
      </c>
      <c r="H83" s="15" t="n"/>
      <c r="I83" s="15" t="n"/>
      <c r="J83" s="16" t="n"/>
    </row>
    <row r="84">
      <c r="A84" s="15" t="n"/>
      <c r="B84" s="16" t="n"/>
      <c r="C84" s="16" t="n"/>
      <c r="D84" s="15" t="n"/>
      <c r="E84" s="15" t="n"/>
      <c r="F84" s="15">
        <f>IFERROR(VLOOKUP(D84, Config!A:B, 2, FALSE), "")</f>
        <v/>
      </c>
      <c r="G84" s="15">
        <f>IF(E84="", "", WORKDAY(E84, F84))</f>
        <v/>
      </c>
      <c r="H84" s="15" t="n"/>
      <c r="I84" s="15" t="n"/>
      <c r="J84" s="16" t="n"/>
    </row>
    <row r="85">
      <c r="A85" s="15" t="n"/>
      <c r="B85" s="16" t="n"/>
      <c r="C85" s="16" t="n"/>
      <c r="D85" s="15" t="n"/>
      <c r="E85" s="15" t="n"/>
      <c r="F85" s="15">
        <f>IFERROR(VLOOKUP(D85, Config!A:B, 2, FALSE), "")</f>
        <v/>
      </c>
      <c r="G85" s="15">
        <f>IF(E85="", "", WORKDAY(E85, F85))</f>
        <v/>
      </c>
      <c r="H85" s="15" t="n"/>
      <c r="I85" s="15" t="n"/>
      <c r="J85" s="16" t="n"/>
    </row>
    <row r="86">
      <c r="A86" s="15" t="n"/>
      <c r="B86" s="16" t="n"/>
      <c r="C86" s="16" t="n"/>
      <c r="D86" s="15" t="n"/>
      <c r="E86" s="15" t="n"/>
      <c r="F86" s="15">
        <f>IFERROR(VLOOKUP(D86, Config!A:B, 2, FALSE), "")</f>
        <v/>
      </c>
      <c r="G86" s="15">
        <f>IF(E86="", "", WORKDAY(E86, F86))</f>
        <v/>
      </c>
      <c r="H86" s="15" t="n"/>
      <c r="I86" s="15" t="n"/>
      <c r="J86" s="16" t="n"/>
    </row>
    <row r="87">
      <c r="A87" s="15" t="n"/>
      <c r="B87" s="16" t="n"/>
      <c r="C87" s="16" t="n"/>
      <c r="D87" s="15" t="n"/>
      <c r="E87" s="15" t="n"/>
      <c r="F87" s="15">
        <f>IFERROR(VLOOKUP(D87, Config!A:B, 2, FALSE), "")</f>
        <v/>
      </c>
      <c r="G87" s="15">
        <f>IF(E87="", "", WORKDAY(E87, F87))</f>
        <v/>
      </c>
      <c r="H87" s="15" t="n"/>
      <c r="I87" s="15" t="n"/>
      <c r="J87" s="16" t="n"/>
    </row>
    <row r="88">
      <c r="A88" s="15" t="n"/>
      <c r="B88" s="16" t="n"/>
      <c r="C88" s="16" t="n"/>
      <c r="D88" s="15" t="n"/>
      <c r="E88" s="15" t="n"/>
      <c r="F88" s="15">
        <f>IFERROR(VLOOKUP(D88, Config!A:B, 2, FALSE), "")</f>
        <v/>
      </c>
      <c r="G88" s="15">
        <f>IF(E88="", "", WORKDAY(E88, F88))</f>
        <v/>
      </c>
      <c r="H88" s="15" t="n"/>
      <c r="I88" s="15" t="n"/>
      <c r="J88" s="16" t="n"/>
    </row>
    <row r="89">
      <c r="A89" s="15" t="n"/>
      <c r="B89" s="16" t="n"/>
      <c r="C89" s="16" t="n"/>
      <c r="D89" s="15" t="n"/>
      <c r="E89" s="15" t="n"/>
      <c r="F89" s="15">
        <f>IFERROR(VLOOKUP(D89, Config!A:B, 2, FALSE), "")</f>
        <v/>
      </c>
      <c r="G89" s="15">
        <f>IF(E89="", "", WORKDAY(E89, F89))</f>
        <v/>
      </c>
      <c r="H89" s="15" t="n"/>
      <c r="I89" s="15" t="n"/>
      <c r="J89" s="16" t="n"/>
    </row>
    <row r="90">
      <c r="A90" s="15" t="n"/>
      <c r="B90" s="16" t="n"/>
      <c r="C90" s="16" t="n"/>
      <c r="D90" s="15" t="n"/>
      <c r="E90" s="15" t="n"/>
      <c r="F90" s="15">
        <f>IFERROR(VLOOKUP(D90, Config!A:B, 2, FALSE), "")</f>
        <v/>
      </c>
      <c r="G90" s="15">
        <f>IF(E90="", "", WORKDAY(E90, F90))</f>
        <v/>
      </c>
      <c r="H90" s="15" t="n"/>
      <c r="I90" s="15" t="n"/>
      <c r="J90" s="16" t="n"/>
    </row>
    <row r="91">
      <c r="A91" s="15" t="n"/>
      <c r="B91" s="16" t="n"/>
      <c r="C91" s="16" t="n"/>
      <c r="D91" s="15" t="n"/>
      <c r="E91" s="15" t="n"/>
      <c r="F91" s="15">
        <f>IFERROR(VLOOKUP(D91, Config!A:B, 2, FALSE), "")</f>
        <v/>
      </c>
      <c r="G91" s="15">
        <f>IF(E91="", "", WORKDAY(E91, F91))</f>
        <v/>
      </c>
      <c r="H91" s="15" t="n"/>
      <c r="I91" s="15" t="n"/>
      <c r="J91" s="16" t="n"/>
    </row>
    <row r="92">
      <c r="A92" s="15" t="n"/>
      <c r="B92" s="16" t="n"/>
      <c r="C92" s="16" t="n"/>
      <c r="D92" s="15" t="n"/>
      <c r="E92" s="15" t="n"/>
      <c r="F92" s="15">
        <f>IFERROR(VLOOKUP(D92, Config!A:B, 2, FALSE), "")</f>
        <v/>
      </c>
      <c r="G92" s="15">
        <f>IF(E92="", "", WORKDAY(E92, F92))</f>
        <v/>
      </c>
      <c r="H92" s="15" t="n"/>
      <c r="I92" s="15" t="n"/>
      <c r="J92" s="16" t="n"/>
    </row>
    <row r="93">
      <c r="A93" s="15" t="n"/>
      <c r="B93" s="16" t="n"/>
      <c r="C93" s="16" t="n"/>
      <c r="D93" s="15" t="n"/>
      <c r="E93" s="15" t="n"/>
      <c r="F93" s="15">
        <f>IFERROR(VLOOKUP(D93, Config!A:B, 2, FALSE), "")</f>
        <v/>
      </c>
      <c r="G93" s="15">
        <f>IF(E93="", "", WORKDAY(E93, F93))</f>
        <v/>
      </c>
      <c r="H93" s="15" t="n"/>
      <c r="I93" s="15" t="n"/>
      <c r="J93" s="16" t="n"/>
    </row>
    <row r="94">
      <c r="A94" s="15" t="n"/>
      <c r="B94" s="16" t="n"/>
      <c r="C94" s="16" t="n"/>
      <c r="D94" s="15" t="n"/>
      <c r="E94" s="15" t="n"/>
      <c r="F94" s="15">
        <f>IFERROR(VLOOKUP(D94, Config!A:B, 2, FALSE), "")</f>
        <v/>
      </c>
      <c r="G94" s="15">
        <f>IF(E94="", "", WORKDAY(E94, F94))</f>
        <v/>
      </c>
      <c r="H94" s="15" t="n"/>
      <c r="I94" s="15" t="n"/>
      <c r="J94" s="16" t="n"/>
    </row>
    <row r="95">
      <c r="A95" s="15" t="n"/>
      <c r="B95" s="16" t="n"/>
      <c r="C95" s="16" t="n"/>
      <c r="D95" s="15" t="n"/>
      <c r="E95" s="15" t="n"/>
      <c r="F95" s="15">
        <f>IFERROR(VLOOKUP(D95, Config!A:B, 2, FALSE), "")</f>
        <v/>
      </c>
      <c r="G95" s="15">
        <f>IF(E95="", "", WORKDAY(E95, F95))</f>
        <v/>
      </c>
      <c r="H95" s="15" t="n"/>
      <c r="I95" s="15" t="n"/>
      <c r="J95" s="16" t="n"/>
    </row>
    <row r="96">
      <c r="A96" s="15" t="n"/>
      <c r="B96" s="16" t="n"/>
      <c r="C96" s="16" t="n"/>
      <c r="D96" s="15" t="n"/>
      <c r="E96" s="15" t="n"/>
      <c r="F96" s="15">
        <f>IFERROR(VLOOKUP(D96, Config!A:B, 2, FALSE), "")</f>
        <v/>
      </c>
      <c r="G96" s="15">
        <f>IF(E96="", "", WORKDAY(E96, F96))</f>
        <v/>
      </c>
      <c r="H96" s="15" t="n"/>
      <c r="I96" s="15" t="n"/>
      <c r="J96" s="16" t="n"/>
    </row>
    <row r="97">
      <c r="A97" s="15" t="n"/>
      <c r="B97" s="16" t="n"/>
      <c r="C97" s="16" t="n"/>
      <c r="D97" s="15" t="n"/>
      <c r="E97" s="15" t="n"/>
      <c r="F97" s="15">
        <f>IFERROR(VLOOKUP(D97, Config!A:B, 2, FALSE), "")</f>
        <v/>
      </c>
      <c r="G97" s="15">
        <f>IF(E97="", "", WORKDAY(E97, F97))</f>
        <v/>
      </c>
      <c r="H97" s="15" t="n"/>
      <c r="I97" s="15" t="n"/>
      <c r="J97" s="16" t="n"/>
    </row>
    <row r="98">
      <c r="A98" s="15" t="n"/>
      <c r="B98" s="16" t="n"/>
      <c r="C98" s="16" t="n"/>
      <c r="D98" s="15" t="n"/>
      <c r="E98" s="15" t="n"/>
      <c r="F98" s="15">
        <f>IFERROR(VLOOKUP(D98, Config!A:B, 2, FALSE), "")</f>
        <v/>
      </c>
      <c r="G98" s="15">
        <f>IF(E98="", "", WORKDAY(E98, F98))</f>
        <v/>
      </c>
      <c r="H98" s="15" t="n"/>
      <c r="I98" s="15" t="n"/>
      <c r="J98" s="16" t="n"/>
    </row>
    <row r="99">
      <c r="A99" s="15" t="n"/>
      <c r="B99" s="16" t="n"/>
      <c r="C99" s="16" t="n"/>
      <c r="D99" s="15" t="n"/>
      <c r="E99" s="15" t="n"/>
      <c r="F99" s="15">
        <f>IFERROR(VLOOKUP(D99, Config!A:B, 2, FALSE), "")</f>
        <v/>
      </c>
      <c r="G99" s="15">
        <f>IF(E99="", "", WORKDAY(E99, F99))</f>
        <v/>
      </c>
      <c r="H99" s="15" t="n"/>
      <c r="I99" s="15" t="n"/>
      <c r="J99" s="16" t="n"/>
    </row>
    <row r="100">
      <c r="A100" s="15" t="n"/>
      <c r="B100" s="16" t="n"/>
      <c r="C100" s="16" t="n"/>
      <c r="D100" s="15" t="n"/>
      <c r="E100" s="15" t="n"/>
      <c r="F100" s="15">
        <f>IFERROR(VLOOKUP(D100, Config!A:B, 2, FALSE), "")</f>
        <v/>
      </c>
      <c r="G100" s="15">
        <f>IF(E100="", "", WORKDAY(E100, F100))</f>
        <v/>
      </c>
      <c r="H100" s="15" t="n"/>
      <c r="I100" s="15" t="n"/>
      <c r="J100" s="16" t="n"/>
    </row>
  </sheetData>
  <conditionalFormatting sqref="D2:D1000">
    <cfRule type="cellIs" priority="1" operator="equal" dxfId="3">
      <formula>"Baixa"</formula>
    </cfRule>
    <cfRule type="cellIs" priority="2" operator="equal" dxfId="4">
      <formula>"Média"</formula>
    </cfRule>
    <cfRule type="cellIs" priority="3" operator="equal" dxfId="5">
      <formula>"Alta"</formula>
    </cfRule>
  </conditionalFormatting>
  <conditionalFormatting sqref="H2:H1000">
    <cfRule type="cellIs" priority="4" operator="equal" dxfId="3">
      <formula>"Finalizada"</formula>
    </cfRule>
  </conditionalFormatting>
  <dataValidations count="2">
    <dataValidation sqref="D2:D1000" showDropDown="1" showInputMessage="0" showErrorMessage="0" allowBlank="0" type="list">
      <formula1>"Baixa,Média,Alta"</formula1>
    </dataValidation>
    <dataValidation sqref="H2:H1000" showDropDown="1" showInputMessage="0" showErrorMessage="0" allowBlank="0" type="list">
      <formula1>"Pendente,Em Andamento,Finalizada"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25" customWidth="1" min="10" max="10"/>
  </cols>
  <sheetData>
    <row r="1">
      <c r="A1" s="14" t="inlineStr">
        <is>
          <t>ID</t>
        </is>
      </c>
      <c r="B1" s="14" t="inlineStr">
        <is>
          <t>Cliente</t>
        </is>
      </c>
      <c r="C1" s="14" t="inlineStr">
        <is>
          <t>Tipo de Ação</t>
        </is>
      </c>
      <c r="D1" s="14" t="inlineStr">
        <is>
          <t>Complexidade</t>
        </is>
      </c>
      <c r="E1" s="14" t="inlineStr">
        <is>
          <t>Data Envio Doc</t>
        </is>
      </c>
      <c r="F1" s="14" t="inlineStr">
        <is>
          <t>Prazo (Dias)</t>
        </is>
      </c>
      <c r="G1" s="14" t="inlineStr">
        <is>
          <t>Prazo Fatal</t>
        </is>
      </c>
      <c r="H1" s="14" t="inlineStr">
        <is>
          <t>Status</t>
        </is>
      </c>
      <c r="I1" s="14" t="inlineStr">
        <is>
          <t>Data Protocolo</t>
        </is>
      </c>
      <c r="J1" s="14" t="inlineStr">
        <is>
          <t>Advogado Responsável</t>
        </is>
      </c>
    </row>
    <row r="2">
      <c r="A2" s="15" t="n"/>
      <c r="B2" s="16" t="n"/>
      <c r="C2" s="16" t="n"/>
      <c r="D2" s="15" t="n"/>
      <c r="E2" s="15" t="n"/>
      <c r="F2" s="15">
        <f>IFERROR(VLOOKUP(D2, Config!A:B, 2, FALSE), "")</f>
        <v/>
      </c>
      <c r="G2" s="15">
        <f>IF(E2="", "", WORKDAY(E2, F2))</f>
        <v/>
      </c>
      <c r="H2" s="15" t="n"/>
      <c r="I2" s="15" t="n"/>
      <c r="J2" s="16" t="n"/>
    </row>
    <row r="3">
      <c r="A3" s="15" t="n"/>
      <c r="B3" s="16" t="n"/>
      <c r="C3" s="16" t="n"/>
      <c r="D3" s="15" t="n"/>
      <c r="E3" s="15" t="n"/>
      <c r="F3" s="15">
        <f>IFERROR(VLOOKUP(D3, Config!A:B, 2, FALSE), "")</f>
        <v/>
      </c>
      <c r="G3" s="15">
        <f>IF(E3="", "", WORKDAY(E3, F3))</f>
        <v/>
      </c>
      <c r="H3" s="15" t="n"/>
      <c r="I3" s="15" t="n"/>
      <c r="J3" s="16" t="n"/>
    </row>
    <row r="4">
      <c r="A4" s="15" t="n"/>
      <c r="B4" s="16" t="n"/>
      <c r="C4" s="16" t="n"/>
      <c r="D4" s="15" t="n"/>
      <c r="E4" s="15" t="n"/>
      <c r="F4" s="15">
        <f>IFERROR(VLOOKUP(D4, Config!A:B, 2, FALSE), "")</f>
        <v/>
      </c>
      <c r="G4" s="15">
        <f>IF(E4="", "", WORKDAY(E4, F4))</f>
        <v/>
      </c>
      <c r="H4" s="15" t="n"/>
      <c r="I4" s="15" t="n"/>
      <c r="J4" s="16" t="n"/>
    </row>
    <row r="5">
      <c r="A5" s="15" t="n"/>
      <c r="B5" s="16" t="n"/>
      <c r="C5" s="16" t="n"/>
      <c r="D5" s="15" t="n"/>
      <c r="E5" s="15" t="n"/>
      <c r="F5" s="15">
        <f>IFERROR(VLOOKUP(D5, Config!A:B, 2, FALSE), "")</f>
        <v/>
      </c>
      <c r="G5" s="15">
        <f>IF(E5="", "", WORKDAY(E5, F5))</f>
        <v/>
      </c>
      <c r="H5" s="15" t="n"/>
      <c r="I5" s="15" t="n"/>
      <c r="J5" s="16" t="n"/>
    </row>
    <row r="6">
      <c r="A6" s="15" t="n"/>
      <c r="B6" s="16" t="n"/>
      <c r="C6" s="16" t="n"/>
      <c r="D6" s="15" t="n"/>
      <c r="E6" s="15" t="n"/>
      <c r="F6" s="15">
        <f>IFERROR(VLOOKUP(D6, Config!A:B, 2, FALSE), "")</f>
        <v/>
      </c>
      <c r="G6" s="15">
        <f>IF(E6="", "", WORKDAY(E6, F6))</f>
        <v/>
      </c>
      <c r="H6" s="15" t="n"/>
      <c r="I6" s="15" t="n"/>
      <c r="J6" s="16" t="n"/>
    </row>
    <row r="7">
      <c r="A7" s="15" t="n"/>
      <c r="B7" s="16" t="n"/>
      <c r="C7" s="16" t="n"/>
      <c r="D7" s="15" t="n"/>
      <c r="E7" s="15" t="n"/>
      <c r="F7" s="15">
        <f>IFERROR(VLOOKUP(D7, Config!A:B, 2, FALSE), "")</f>
        <v/>
      </c>
      <c r="G7" s="15">
        <f>IF(E7="", "", WORKDAY(E7, F7))</f>
        <v/>
      </c>
      <c r="H7" s="15" t="n"/>
      <c r="I7" s="15" t="n"/>
      <c r="J7" s="16" t="n"/>
    </row>
    <row r="8">
      <c r="A8" s="15" t="n"/>
      <c r="B8" s="16" t="n"/>
      <c r="C8" s="16" t="n"/>
      <c r="D8" s="15" t="n"/>
      <c r="E8" s="15" t="n"/>
      <c r="F8" s="15">
        <f>IFERROR(VLOOKUP(D8, Config!A:B, 2, FALSE), "")</f>
        <v/>
      </c>
      <c r="G8" s="15">
        <f>IF(E8="", "", WORKDAY(E8, F8))</f>
        <v/>
      </c>
      <c r="H8" s="15" t="n"/>
      <c r="I8" s="15" t="n"/>
      <c r="J8" s="16" t="n"/>
    </row>
    <row r="9">
      <c r="A9" s="15" t="n"/>
      <c r="B9" s="16" t="n"/>
      <c r="C9" s="16" t="n"/>
      <c r="D9" s="15" t="n"/>
      <c r="E9" s="15" t="n"/>
      <c r="F9" s="15">
        <f>IFERROR(VLOOKUP(D9, Config!A:B, 2, FALSE), "")</f>
        <v/>
      </c>
      <c r="G9" s="15">
        <f>IF(E9="", "", WORKDAY(E9, F9))</f>
        <v/>
      </c>
      <c r="H9" s="15" t="n"/>
      <c r="I9" s="15" t="n"/>
      <c r="J9" s="16" t="n"/>
    </row>
    <row r="10">
      <c r="A10" s="15" t="n"/>
      <c r="B10" s="16" t="n"/>
      <c r="C10" s="16" t="n"/>
      <c r="D10" s="15" t="n"/>
      <c r="E10" s="15" t="n"/>
      <c r="F10" s="15">
        <f>IFERROR(VLOOKUP(D10, Config!A:B, 2, FALSE), "")</f>
        <v/>
      </c>
      <c r="G10" s="15">
        <f>IF(E10="", "", WORKDAY(E10, F10))</f>
        <v/>
      </c>
      <c r="H10" s="15" t="n"/>
      <c r="I10" s="15" t="n"/>
      <c r="J10" s="16" t="n"/>
    </row>
    <row r="11">
      <c r="A11" s="15" t="n"/>
      <c r="B11" s="16" t="n"/>
      <c r="C11" s="16" t="n"/>
      <c r="D11" s="15" t="n"/>
      <c r="E11" s="15" t="n"/>
      <c r="F11" s="15">
        <f>IFERROR(VLOOKUP(D11, Config!A:B, 2, FALSE), "")</f>
        <v/>
      </c>
      <c r="G11" s="15">
        <f>IF(E11="", "", WORKDAY(E11, F11))</f>
        <v/>
      </c>
      <c r="H11" s="15" t="n"/>
      <c r="I11" s="15" t="n"/>
      <c r="J11" s="16" t="n"/>
    </row>
    <row r="12">
      <c r="A12" s="15" t="n"/>
      <c r="B12" s="16" t="n"/>
      <c r="C12" s="16" t="n"/>
      <c r="D12" s="15" t="n"/>
      <c r="E12" s="15" t="n"/>
      <c r="F12" s="15">
        <f>IFERROR(VLOOKUP(D12, Config!A:B, 2, FALSE), "")</f>
        <v/>
      </c>
      <c r="G12" s="15">
        <f>IF(E12="", "", WORKDAY(E12, F12))</f>
        <v/>
      </c>
      <c r="H12" s="15" t="n"/>
      <c r="I12" s="15" t="n"/>
      <c r="J12" s="16" t="n"/>
    </row>
    <row r="13">
      <c r="A13" s="15" t="n"/>
      <c r="B13" s="16" t="n"/>
      <c r="C13" s="16" t="n"/>
      <c r="D13" s="15" t="n"/>
      <c r="E13" s="15" t="n"/>
      <c r="F13" s="15">
        <f>IFERROR(VLOOKUP(D13, Config!A:B, 2, FALSE), "")</f>
        <v/>
      </c>
      <c r="G13" s="15">
        <f>IF(E13="", "", WORKDAY(E13, F13))</f>
        <v/>
      </c>
      <c r="H13" s="15" t="n"/>
      <c r="I13" s="15" t="n"/>
      <c r="J13" s="16" t="n"/>
    </row>
    <row r="14">
      <c r="A14" s="15" t="n"/>
      <c r="B14" s="16" t="n"/>
      <c r="C14" s="16" t="n"/>
      <c r="D14" s="15" t="n"/>
      <c r="E14" s="15" t="n"/>
      <c r="F14" s="15">
        <f>IFERROR(VLOOKUP(D14, Config!A:B, 2, FALSE), "")</f>
        <v/>
      </c>
      <c r="G14" s="15">
        <f>IF(E14="", "", WORKDAY(E14, F14))</f>
        <v/>
      </c>
      <c r="H14" s="15" t="n"/>
      <c r="I14" s="15" t="n"/>
      <c r="J14" s="16" t="n"/>
    </row>
    <row r="15">
      <c r="A15" s="15" t="n"/>
      <c r="B15" s="16" t="n"/>
      <c r="C15" s="16" t="n"/>
      <c r="D15" s="15" t="n"/>
      <c r="E15" s="15" t="n"/>
      <c r="F15" s="15">
        <f>IFERROR(VLOOKUP(D15, Config!A:B, 2, FALSE), "")</f>
        <v/>
      </c>
      <c r="G15" s="15">
        <f>IF(E15="", "", WORKDAY(E15, F15))</f>
        <v/>
      </c>
      <c r="H15" s="15" t="n"/>
      <c r="I15" s="15" t="n"/>
      <c r="J15" s="16" t="n"/>
    </row>
    <row r="16">
      <c r="A16" s="15" t="n"/>
      <c r="B16" s="16" t="n"/>
      <c r="C16" s="16" t="n"/>
      <c r="D16" s="15" t="n"/>
      <c r="E16" s="15" t="n"/>
      <c r="F16" s="15">
        <f>IFERROR(VLOOKUP(D16, Config!A:B, 2, FALSE), "")</f>
        <v/>
      </c>
      <c r="G16" s="15">
        <f>IF(E16="", "", WORKDAY(E16, F16))</f>
        <v/>
      </c>
      <c r="H16" s="15" t="n"/>
      <c r="I16" s="15" t="n"/>
      <c r="J16" s="16" t="n"/>
    </row>
    <row r="17">
      <c r="A17" s="15" t="n"/>
      <c r="B17" s="16" t="n"/>
      <c r="C17" s="16" t="n"/>
      <c r="D17" s="15" t="n"/>
      <c r="E17" s="15" t="n"/>
      <c r="F17" s="15">
        <f>IFERROR(VLOOKUP(D17, Config!A:B, 2, FALSE), "")</f>
        <v/>
      </c>
      <c r="G17" s="15">
        <f>IF(E17="", "", WORKDAY(E17, F17))</f>
        <v/>
      </c>
      <c r="H17" s="15" t="n"/>
      <c r="I17" s="15" t="n"/>
      <c r="J17" s="16" t="n"/>
    </row>
    <row r="18">
      <c r="A18" s="15" t="n"/>
      <c r="B18" s="16" t="n"/>
      <c r="C18" s="16" t="n"/>
      <c r="D18" s="15" t="n"/>
      <c r="E18" s="15" t="n"/>
      <c r="F18" s="15">
        <f>IFERROR(VLOOKUP(D18, Config!A:B, 2, FALSE), "")</f>
        <v/>
      </c>
      <c r="G18" s="15">
        <f>IF(E18="", "", WORKDAY(E18, F18))</f>
        <v/>
      </c>
      <c r="H18" s="15" t="n"/>
      <c r="I18" s="15" t="n"/>
      <c r="J18" s="16" t="n"/>
    </row>
    <row r="19">
      <c r="A19" s="15" t="n"/>
      <c r="B19" s="16" t="n"/>
      <c r="C19" s="16" t="n"/>
      <c r="D19" s="15" t="n"/>
      <c r="E19" s="15" t="n"/>
      <c r="F19" s="15">
        <f>IFERROR(VLOOKUP(D19, Config!A:B, 2, FALSE), "")</f>
        <v/>
      </c>
      <c r="G19" s="15">
        <f>IF(E19="", "", WORKDAY(E19, F19))</f>
        <v/>
      </c>
      <c r="H19" s="15" t="n"/>
      <c r="I19" s="15" t="n"/>
      <c r="J19" s="16" t="n"/>
    </row>
    <row r="20">
      <c r="A20" s="15" t="n"/>
      <c r="B20" s="16" t="n"/>
      <c r="C20" s="16" t="n"/>
      <c r="D20" s="15" t="n"/>
      <c r="E20" s="15" t="n"/>
      <c r="F20" s="15">
        <f>IFERROR(VLOOKUP(D20, Config!A:B, 2, FALSE), "")</f>
        <v/>
      </c>
      <c r="G20" s="15">
        <f>IF(E20="", "", WORKDAY(E20, F20))</f>
        <v/>
      </c>
      <c r="H20" s="15" t="n"/>
      <c r="I20" s="15" t="n"/>
      <c r="J20" s="16" t="n"/>
    </row>
    <row r="21">
      <c r="A21" s="15" t="n"/>
      <c r="B21" s="16" t="n"/>
      <c r="C21" s="16" t="n"/>
      <c r="D21" s="15" t="n"/>
      <c r="E21" s="15" t="n"/>
      <c r="F21" s="15">
        <f>IFERROR(VLOOKUP(D21, Config!A:B, 2, FALSE), "")</f>
        <v/>
      </c>
      <c r="G21" s="15">
        <f>IF(E21="", "", WORKDAY(E21, F21))</f>
        <v/>
      </c>
      <c r="H21" s="15" t="n"/>
      <c r="I21" s="15" t="n"/>
      <c r="J21" s="16" t="n"/>
    </row>
    <row r="22">
      <c r="A22" s="15" t="n"/>
      <c r="B22" s="16" t="n"/>
      <c r="C22" s="16" t="n"/>
      <c r="D22" s="15" t="n"/>
      <c r="E22" s="15" t="n"/>
      <c r="F22" s="15">
        <f>IFERROR(VLOOKUP(D22, Config!A:B, 2, FALSE), "")</f>
        <v/>
      </c>
      <c r="G22" s="15">
        <f>IF(E22="", "", WORKDAY(E22, F22))</f>
        <v/>
      </c>
      <c r="H22" s="15" t="n"/>
      <c r="I22" s="15" t="n"/>
      <c r="J22" s="16" t="n"/>
    </row>
    <row r="23">
      <c r="A23" s="15" t="n"/>
      <c r="B23" s="16" t="n"/>
      <c r="C23" s="16" t="n"/>
      <c r="D23" s="15" t="n"/>
      <c r="E23" s="15" t="n"/>
      <c r="F23" s="15">
        <f>IFERROR(VLOOKUP(D23, Config!A:B, 2, FALSE), "")</f>
        <v/>
      </c>
      <c r="G23" s="15">
        <f>IF(E23="", "", WORKDAY(E23, F23))</f>
        <v/>
      </c>
      <c r="H23" s="15" t="n"/>
      <c r="I23" s="15" t="n"/>
      <c r="J23" s="16" t="n"/>
    </row>
    <row r="24">
      <c r="A24" s="15" t="n"/>
      <c r="B24" s="16" t="n"/>
      <c r="C24" s="16" t="n"/>
      <c r="D24" s="15" t="n"/>
      <c r="E24" s="15" t="n"/>
      <c r="F24" s="15">
        <f>IFERROR(VLOOKUP(D24, Config!A:B, 2, FALSE), "")</f>
        <v/>
      </c>
      <c r="G24" s="15">
        <f>IF(E24="", "", WORKDAY(E24, F24))</f>
        <v/>
      </c>
      <c r="H24" s="15" t="n"/>
      <c r="I24" s="15" t="n"/>
      <c r="J24" s="16" t="n"/>
    </row>
    <row r="25">
      <c r="A25" s="15" t="n"/>
      <c r="B25" s="16" t="n"/>
      <c r="C25" s="16" t="n"/>
      <c r="D25" s="15" t="n"/>
      <c r="E25" s="15" t="n"/>
      <c r="F25" s="15">
        <f>IFERROR(VLOOKUP(D25, Config!A:B, 2, FALSE), "")</f>
        <v/>
      </c>
      <c r="G25" s="15">
        <f>IF(E25="", "", WORKDAY(E25, F25))</f>
        <v/>
      </c>
      <c r="H25" s="15" t="n"/>
      <c r="I25" s="15" t="n"/>
      <c r="J25" s="16" t="n"/>
    </row>
    <row r="26">
      <c r="A26" s="15" t="n"/>
      <c r="B26" s="16" t="n"/>
      <c r="C26" s="16" t="n"/>
      <c r="D26" s="15" t="n"/>
      <c r="E26" s="15" t="n"/>
      <c r="F26" s="15">
        <f>IFERROR(VLOOKUP(D26, Config!A:B, 2, FALSE), "")</f>
        <v/>
      </c>
      <c r="G26" s="15">
        <f>IF(E26="", "", WORKDAY(E26, F26))</f>
        <v/>
      </c>
      <c r="H26" s="15" t="n"/>
      <c r="I26" s="15" t="n"/>
      <c r="J26" s="16" t="n"/>
    </row>
    <row r="27">
      <c r="A27" s="15" t="n"/>
      <c r="B27" s="16" t="n"/>
      <c r="C27" s="16" t="n"/>
      <c r="D27" s="15" t="n"/>
      <c r="E27" s="15" t="n"/>
      <c r="F27" s="15">
        <f>IFERROR(VLOOKUP(D27, Config!A:B, 2, FALSE), "")</f>
        <v/>
      </c>
      <c r="G27" s="15">
        <f>IF(E27="", "", WORKDAY(E27, F27))</f>
        <v/>
      </c>
      <c r="H27" s="15" t="n"/>
      <c r="I27" s="15" t="n"/>
      <c r="J27" s="16" t="n"/>
    </row>
    <row r="28">
      <c r="A28" s="15" t="n"/>
      <c r="B28" s="16" t="n"/>
      <c r="C28" s="16" t="n"/>
      <c r="D28" s="15" t="n"/>
      <c r="E28" s="15" t="n"/>
      <c r="F28" s="15">
        <f>IFERROR(VLOOKUP(D28, Config!A:B, 2, FALSE), "")</f>
        <v/>
      </c>
      <c r="G28" s="15">
        <f>IF(E28="", "", WORKDAY(E28, F28))</f>
        <v/>
      </c>
      <c r="H28" s="15" t="n"/>
      <c r="I28" s="15" t="n"/>
      <c r="J28" s="16" t="n"/>
    </row>
    <row r="29">
      <c r="A29" s="15" t="n"/>
      <c r="B29" s="16" t="n"/>
      <c r="C29" s="16" t="n"/>
      <c r="D29" s="15" t="n"/>
      <c r="E29" s="15" t="n"/>
      <c r="F29" s="15">
        <f>IFERROR(VLOOKUP(D29, Config!A:B, 2, FALSE), "")</f>
        <v/>
      </c>
      <c r="G29" s="15">
        <f>IF(E29="", "", WORKDAY(E29, F29))</f>
        <v/>
      </c>
      <c r="H29" s="15" t="n"/>
      <c r="I29" s="15" t="n"/>
      <c r="J29" s="16" t="n"/>
    </row>
    <row r="30">
      <c r="A30" s="15" t="n"/>
      <c r="B30" s="16" t="n"/>
      <c r="C30" s="16" t="n"/>
      <c r="D30" s="15" t="n"/>
      <c r="E30" s="15" t="n"/>
      <c r="F30" s="15">
        <f>IFERROR(VLOOKUP(D30, Config!A:B, 2, FALSE), "")</f>
        <v/>
      </c>
      <c r="G30" s="15">
        <f>IF(E30="", "", WORKDAY(E30, F30))</f>
        <v/>
      </c>
      <c r="H30" s="15" t="n"/>
      <c r="I30" s="15" t="n"/>
      <c r="J30" s="16" t="n"/>
    </row>
    <row r="31">
      <c r="A31" s="15" t="n"/>
      <c r="B31" s="16" t="n"/>
      <c r="C31" s="16" t="n"/>
      <c r="D31" s="15" t="n"/>
      <c r="E31" s="15" t="n"/>
      <c r="F31" s="15">
        <f>IFERROR(VLOOKUP(D31, Config!A:B, 2, FALSE), "")</f>
        <v/>
      </c>
      <c r="G31" s="15">
        <f>IF(E31="", "", WORKDAY(E31, F31))</f>
        <v/>
      </c>
      <c r="H31" s="15" t="n"/>
      <c r="I31" s="15" t="n"/>
      <c r="J31" s="16" t="n"/>
    </row>
    <row r="32">
      <c r="A32" s="15" t="n"/>
      <c r="B32" s="16" t="n"/>
      <c r="C32" s="16" t="n"/>
      <c r="D32" s="15" t="n"/>
      <c r="E32" s="15" t="n"/>
      <c r="F32" s="15">
        <f>IFERROR(VLOOKUP(D32, Config!A:B, 2, FALSE), "")</f>
        <v/>
      </c>
      <c r="G32" s="15">
        <f>IF(E32="", "", WORKDAY(E32, F32))</f>
        <v/>
      </c>
      <c r="H32" s="15" t="n"/>
      <c r="I32" s="15" t="n"/>
      <c r="J32" s="16" t="n"/>
    </row>
    <row r="33">
      <c r="A33" s="15" t="n"/>
      <c r="B33" s="16" t="n"/>
      <c r="C33" s="16" t="n"/>
      <c r="D33" s="15" t="n"/>
      <c r="E33" s="15" t="n"/>
      <c r="F33" s="15">
        <f>IFERROR(VLOOKUP(D33, Config!A:B, 2, FALSE), "")</f>
        <v/>
      </c>
      <c r="G33" s="15">
        <f>IF(E33="", "", WORKDAY(E33, F33))</f>
        <v/>
      </c>
      <c r="H33" s="15" t="n"/>
      <c r="I33" s="15" t="n"/>
      <c r="J33" s="16" t="n"/>
    </row>
    <row r="34">
      <c r="A34" s="15" t="n"/>
      <c r="B34" s="16" t="n"/>
      <c r="C34" s="16" t="n"/>
      <c r="D34" s="15" t="n"/>
      <c r="E34" s="15" t="n"/>
      <c r="F34" s="15">
        <f>IFERROR(VLOOKUP(D34, Config!A:B, 2, FALSE), "")</f>
        <v/>
      </c>
      <c r="G34" s="15">
        <f>IF(E34="", "", WORKDAY(E34, F34))</f>
        <v/>
      </c>
      <c r="H34" s="15" t="n"/>
      <c r="I34" s="15" t="n"/>
      <c r="J34" s="16" t="n"/>
    </row>
    <row r="35">
      <c r="A35" s="15" t="n"/>
      <c r="B35" s="16" t="n"/>
      <c r="C35" s="16" t="n"/>
      <c r="D35" s="15" t="n"/>
      <c r="E35" s="15" t="n"/>
      <c r="F35" s="15">
        <f>IFERROR(VLOOKUP(D35, Config!A:B, 2, FALSE), "")</f>
        <v/>
      </c>
      <c r="G35" s="15">
        <f>IF(E35="", "", WORKDAY(E35, F35))</f>
        <v/>
      </c>
      <c r="H35" s="15" t="n"/>
      <c r="I35" s="15" t="n"/>
      <c r="J35" s="16" t="n"/>
    </row>
    <row r="36">
      <c r="A36" s="15" t="n"/>
      <c r="B36" s="16" t="n"/>
      <c r="C36" s="16" t="n"/>
      <c r="D36" s="15" t="n"/>
      <c r="E36" s="15" t="n"/>
      <c r="F36" s="15">
        <f>IFERROR(VLOOKUP(D36, Config!A:B, 2, FALSE), "")</f>
        <v/>
      </c>
      <c r="G36" s="15">
        <f>IF(E36="", "", WORKDAY(E36, F36))</f>
        <v/>
      </c>
      <c r="H36" s="15" t="n"/>
      <c r="I36" s="15" t="n"/>
      <c r="J36" s="16" t="n"/>
    </row>
    <row r="37">
      <c r="A37" s="15" t="n"/>
      <c r="B37" s="16" t="n"/>
      <c r="C37" s="16" t="n"/>
      <c r="D37" s="15" t="n"/>
      <c r="E37" s="15" t="n"/>
      <c r="F37" s="15">
        <f>IFERROR(VLOOKUP(D37, Config!A:B, 2, FALSE), "")</f>
        <v/>
      </c>
      <c r="G37" s="15">
        <f>IF(E37="", "", WORKDAY(E37, F37))</f>
        <v/>
      </c>
      <c r="H37" s="15" t="n"/>
      <c r="I37" s="15" t="n"/>
      <c r="J37" s="16" t="n"/>
    </row>
    <row r="38">
      <c r="A38" s="15" t="n"/>
      <c r="B38" s="16" t="n"/>
      <c r="C38" s="16" t="n"/>
      <c r="D38" s="15" t="n"/>
      <c r="E38" s="15" t="n"/>
      <c r="F38" s="15">
        <f>IFERROR(VLOOKUP(D38, Config!A:B, 2, FALSE), "")</f>
        <v/>
      </c>
      <c r="G38" s="15">
        <f>IF(E38="", "", WORKDAY(E38, F38))</f>
        <v/>
      </c>
      <c r="H38" s="15" t="n"/>
      <c r="I38" s="15" t="n"/>
      <c r="J38" s="16" t="n"/>
    </row>
    <row r="39">
      <c r="A39" s="15" t="n"/>
      <c r="B39" s="16" t="n"/>
      <c r="C39" s="16" t="n"/>
      <c r="D39" s="15" t="n"/>
      <c r="E39" s="15" t="n"/>
      <c r="F39" s="15">
        <f>IFERROR(VLOOKUP(D39, Config!A:B, 2, FALSE), "")</f>
        <v/>
      </c>
      <c r="G39" s="15">
        <f>IF(E39="", "", WORKDAY(E39, F39))</f>
        <v/>
      </c>
      <c r="H39" s="15" t="n"/>
      <c r="I39" s="15" t="n"/>
      <c r="J39" s="16" t="n"/>
    </row>
    <row r="40">
      <c r="A40" s="15" t="n"/>
      <c r="B40" s="16" t="n"/>
      <c r="C40" s="16" t="n"/>
      <c r="D40" s="15" t="n"/>
      <c r="E40" s="15" t="n"/>
      <c r="F40" s="15">
        <f>IFERROR(VLOOKUP(D40, Config!A:B, 2, FALSE), "")</f>
        <v/>
      </c>
      <c r="G40" s="15">
        <f>IF(E40="", "", WORKDAY(E40, F40))</f>
        <v/>
      </c>
      <c r="H40" s="15" t="n"/>
      <c r="I40" s="15" t="n"/>
      <c r="J40" s="16" t="n"/>
    </row>
    <row r="41">
      <c r="A41" s="15" t="n"/>
      <c r="B41" s="16" t="n"/>
      <c r="C41" s="16" t="n"/>
      <c r="D41" s="15" t="n"/>
      <c r="E41" s="15" t="n"/>
      <c r="F41" s="15">
        <f>IFERROR(VLOOKUP(D41, Config!A:B, 2, FALSE), "")</f>
        <v/>
      </c>
      <c r="G41" s="15">
        <f>IF(E41="", "", WORKDAY(E41, F41))</f>
        <v/>
      </c>
      <c r="H41" s="15" t="n"/>
      <c r="I41" s="15" t="n"/>
      <c r="J41" s="16" t="n"/>
    </row>
    <row r="42">
      <c r="A42" s="15" t="n"/>
      <c r="B42" s="16" t="n"/>
      <c r="C42" s="16" t="n"/>
      <c r="D42" s="15" t="n"/>
      <c r="E42" s="15" t="n"/>
      <c r="F42" s="15">
        <f>IFERROR(VLOOKUP(D42, Config!A:B, 2, FALSE), "")</f>
        <v/>
      </c>
      <c r="G42" s="15">
        <f>IF(E42="", "", WORKDAY(E42, F42))</f>
        <v/>
      </c>
      <c r="H42" s="15" t="n"/>
      <c r="I42" s="15" t="n"/>
      <c r="J42" s="16" t="n"/>
    </row>
    <row r="43">
      <c r="A43" s="15" t="n"/>
      <c r="B43" s="16" t="n"/>
      <c r="C43" s="16" t="n"/>
      <c r="D43" s="15" t="n"/>
      <c r="E43" s="15" t="n"/>
      <c r="F43" s="15">
        <f>IFERROR(VLOOKUP(D43, Config!A:B, 2, FALSE), "")</f>
        <v/>
      </c>
      <c r="G43" s="15">
        <f>IF(E43="", "", WORKDAY(E43, F43))</f>
        <v/>
      </c>
      <c r="H43" s="15" t="n"/>
      <c r="I43" s="15" t="n"/>
      <c r="J43" s="16" t="n"/>
    </row>
    <row r="44">
      <c r="A44" s="15" t="n"/>
      <c r="B44" s="16" t="n"/>
      <c r="C44" s="16" t="n"/>
      <c r="D44" s="15" t="n"/>
      <c r="E44" s="15" t="n"/>
      <c r="F44" s="15">
        <f>IFERROR(VLOOKUP(D44, Config!A:B, 2, FALSE), "")</f>
        <v/>
      </c>
      <c r="G44" s="15">
        <f>IF(E44="", "", WORKDAY(E44, F44))</f>
        <v/>
      </c>
      <c r="H44" s="15" t="n"/>
      <c r="I44" s="15" t="n"/>
      <c r="J44" s="16" t="n"/>
    </row>
    <row r="45">
      <c r="A45" s="15" t="n"/>
      <c r="B45" s="16" t="n"/>
      <c r="C45" s="16" t="n"/>
      <c r="D45" s="15" t="n"/>
      <c r="E45" s="15" t="n"/>
      <c r="F45" s="15">
        <f>IFERROR(VLOOKUP(D45, Config!A:B, 2, FALSE), "")</f>
        <v/>
      </c>
      <c r="G45" s="15">
        <f>IF(E45="", "", WORKDAY(E45, F45))</f>
        <v/>
      </c>
      <c r="H45" s="15" t="n"/>
      <c r="I45" s="15" t="n"/>
      <c r="J45" s="16" t="n"/>
    </row>
    <row r="46">
      <c r="A46" s="15" t="n"/>
      <c r="B46" s="16" t="n"/>
      <c r="C46" s="16" t="n"/>
      <c r="D46" s="15" t="n"/>
      <c r="E46" s="15" t="n"/>
      <c r="F46" s="15">
        <f>IFERROR(VLOOKUP(D46, Config!A:B, 2, FALSE), "")</f>
        <v/>
      </c>
      <c r="G46" s="15">
        <f>IF(E46="", "", WORKDAY(E46, F46))</f>
        <v/>
      </c>
      <c r="H46" s="15" t="n"/>
      <c r="I46" s="15" t="n"/>
      <c r="J46" s="16" t="n"/>
    </row>
    <row r="47">
      <c r="A47" s="15" t="n"/>
      <c r="B47" s="16" t="n"/>
      <c r="C47" s="16" t="n"/>
      <c r="D47" s="15" t="n"/>
      <c r="E47" s="15" t="n"/>
      <c r="F47" s="15">
        <f>IFERROR(VLOOKUP(D47, Config!A:B, 2, FALSE), "")</f>
        <v/>
      </c>
      <c r="G47" s="15">
        <f>IF(E47="", "", WORKDAY(E47, F47))</f>
        <v/>
      </c>
      <c r="H47" s="15" t="n"/>
      <c r="I47" s="15" t="n"/>
      <c r="J47" s="16" t="n"/>
    </row>
    <row r="48">
      <c r="A48" s="15" t="n"/>
      <c r="B48" s="16" t="n"/>
      <c r="C48" s="16" t="n"/>
      <c r="D48" s="15" t="n"/>
      <c r="E48" s="15" t="n"/>
      <c r="F48" s="15">
        <f>IFERROR(VLOOKUP(D48, Config!A:B, 2, FALSE), "")</f>
        <v/>
      </c>
      <c r="G48" s="15">
        <f>IF(E48="", "", WORKDAY(E48, F48))</f>
        <v/>
      </c>
      <c r="H48" s="15" t="n"/>
      <c r="I48" s="15" t="n"/>
      <c r="J48" s="16" t="n"/>
    </row>
    <row r="49">
      <c r="A49" s="15" t="n"/>
      <c r="B49" s="16" t="n"/>
      <c r="C49" s="16" t="n"/>
      <c r="D49" s="15" t="n"/>
      <c r="E49" s="15" t="n"/>
      <c r="F49" s="15">
        <f>IFERROR(VLOOKUP(D49, Config!A:B, 2, FALSE), "")</f>
        <v/>
      </c>
      <c r="G49" s="15">
        <f>IF(E49="", "", WORKDAY(E49, F49))</f>
        <v/>
      </c>
      <c r="H49" s="15" t="n"/>
      <c r="I49" s="15" t="n"/>
      <c r="J49" s="16" t="n"/>
    </row>
    <row r="50">
      <c r="A50" s="15" t="n"/>
      <c r="B50" s="16" t="n"/>
      <c r="C50" s="16" t="n"/>
      <c r="D50" s="15" t="n"/>
      <c r="E50" s="15" t="n"/>
      <c r="F50" s="15">
        <f>IFERROR(VLOOKUP(D50, Config!A:B, 2, FALSE), "")</f>
        <v/>
      </c>
      <c r="G50" s="15">
        <f>IF(E50="", "", WORKDAY(E50, F50))</f>
        <v/>
      </c>
      <c r="H50" s="15" t="n"/>
      <c r="I50" s="15" t="n"/>
      <c r="J50" s="16" t="n"/>
    </row>
    <row r="51">
      <c r="A51" s="15" t="n"/>
      <c r="B51" s="16" t="n"/>
      <c r="C51" s="16" t="n"/>
      <c r="D51" s="15" t="n"/>
      <c r="E51" s="15" t="n"/>
      <c r="F51" s="15">
        <f>IFERROR(VLOOKUP(D51, Config!A:B, 2, FALSE), "")</f>
        <v/>
      </c>
      <c r="G51" s="15">
        <f>IF(E51="", "", WORKDAY(E51, F51))</f>
        <v/>
      </c>
      <c r="H51" s="15" t="n"/>
      <c r="I51" s="15" t="n"/>
      <c r="J51" s="16" t="n"/>
    </row>
    <row r="52">
      <c r="A52" s="15" t="n"/>
      <c r="B52" s="16" t="n"/>
      <c r="C52" s="16" t="n"/>
      <c r="D52" s="15" t="n"/>
      <c r="E52" s="15" t="n"/>
      <c r="F52" s="15">
        <f>IFERROR(VLOOKUP(D52, Config!A:B, 2, FALSE), "")</f>
        <v/>
      </c>
      <c r="G52" s="15">
        <f>IF(E52="", "", WORKDAY(E52, F52))</f>
        <v/>
      </c>
      <c r="H52" s="15" t="n"/>
      <c r="I52" s="15" t="n"/>
      <c r="J52" s="16" t="n"/>
    </row>
    <row r="53">
      <c r="A53" s="15" t="n"/>
      <c r="B53" s="16" t="n"/>
      <c r="C53" s="16" t="n"/>
      <c r="D53" s="15" t="n"/>
      <c r="E53" s="15" t="n"/>
      <c r="F53" s="15">
        <f>IFERROR(VLOOKUP(D53, Config!A:B, 2, FALSE), "")</f>
        <v/>
      </c>
      <c r="G53" s="15">
        <f>IF(E53="", "", WORKDAY(E53, F53))</f>
        <v/>
      </c>
      <c r="H53" s="15" t="n"/>
      <c r="I53" s="15" t="n"/>
      <c r="J53" s="16" t="n"/>
    </row>
    <row r="54">
      <c r="A54" s="15" t="n"/>
      <c r="B54" s="16" t="n"/>
      <c r="C54" s="16" t="n"/>
      <c r="D54" s="15" t="n"/>
      <c r="E54" s="15" t="n"/>
      <c r="F54" s="15">
        <f>IFERROR(VLOOKUP(D54, Config!A:B, 2, FALSE), "")</f>
        <v/>
      </c>
      <c r="G54" s="15">
        <f>IF(E54="", "", WORKDAY(E54, F54))</f>
        <v/>
      </c>
      <c r="H54" s="15" t="n"/>
      <c r="I54" s="15" t="n"/>
      <c r="J54" s="16" t="n"/>
    </row>
    <row r="55">
      <c r="A55" s="15" t="n"/>
      <c r="B55" s="16" t="n"/>
      <c r="C55" s="16" t="n"/>
      <c r="D55" s="15" t="n"/>
      <c r="E55" s="15" t="n"/>
      <c r="F55" s="15">
        <f>IFERROR(VLOOKUP(D55, Config!A:B, 2, FALSE), "")</f>
        <v/>
      </c>
      <c r="G55" s="15">
        <f>IF(E55="", "", WORKDAY(E55, F55))</f>
        <v/>
      </c>
      <c r="H55" s="15" t="n"/>
      <c r="I55" s="15" t="n"/>
      <c r="J55" s="16" t="n"/>
    </row>
    <row r="56">
      <c r="A56" s="15" t="n"/>
      <c r="B56" s="16" t="n"/>
      <c r="C56" s="16" t="n"/>
      <c r="D56" s="15" t="n"/>
      <c r="E56" s="15" t="n"/>
      <c r="F56" s="15">
        <f>IFERROR(VLOOKUP(D56, Config!A:B, 2, FALSE), "")</f>
        <v/>
      </c>
      <c r="G56" s="15">
        <f>IF(E56="", "", WORKDAY(E56, F56))</f>
        <v/>
      </c>
      <c r="H56" s="15" t="n"/>
      <c r="I56" s="15" t="n"/>
      <c r="J56" s="16" t="n"/>
    </row>
    <row r="57">
      <c r="A57" s="15" t="n"/>
      <c r="B57" s="16" t="n"/>
      <c r="C57" s="16" t="n"/>
      <c r="D57" s="15" t="n"/>
      <c r="E57" s="15" t="n"/>
      <c r="F57" s="15">
        <f>IFERROR(VLOOKUP(D57, Config!A:B, 2, FALSE), "")</f>
        <v/>
      </c>
      <c r="G57" s="15">
        <f>IF(E57="", "", WORKDAY(E57, F57))</f>
        <v/>
      </c>
      <c r="H57" s="15" t="n"/>
      <c r="I57" s="15" t="n"/>
      <c r="J57" s="16" t="n"/>
    </row>
    <row r="58">
      <c r="A58" s="15" t="n"/>
      <c r="B58" s="16" t="n"/>
      <c r="C58" s="16" t="n"/>
      <c r="D58" s="15" t="n"/>
      <c r="E58" s="15" t="n"/>
      <c r="F58" s="15">
        <f>IFERROR(VLOOKUP(D58, Config!A:B, 2, FALSE), "")</f>
        <v/>
      </c>
      <c r="G58" s="15">
        <f>IF(E58="", "", WORKDAY(E58, F58))</f>
        <v/>
      </c>
      <c r="H58" s="15" t="n"/>
      <c r="I58" s="15" t="n"/>
      <c r="J58" s="16" t="n"/>
    </row>
    <row r="59">
      <c r="A59" s="15" t="n"/>
      <c r="B59" s="16" t="n"/>
      <c r="C59" s="16" t="n"/>
      <c r="D59" s="15" t="n"/>
      <c r="E59" s="15" t="n"/>
      <c r="F59" s="15">
        <f>IFERROR(VLOOKUP(D59, Config!A:B, 2, FALSE), "")</f>
        <v/>
      </c>
      <c r="G59" s="15">
        <f>IF(E59="", "", WORKDAY(E59, F59))</f>
        <v/>
      </c>
      <c r="H59" s="15" t="n"/>
      <c r="I59" s="15" t="n"/>
      <c r="J59" s="16" t="n"/>
    </row>
    <row r="60">
      <c r="A60" s="15" t="n"/>
      <c r="B60" s="16" t="n"/>
      <c r="C60" s="16" t="n"/>
      <c r="D60" s="15" t="n"/>
      <c r="E60" s="15" t="n"/>
      <c r="F60" s="15">
        <f>IFERROR(VLOOKUP(D60, Config!A:B, 2, FALSE), "")</f>
        <v/>
      </c>
      <c r="G60" s="15">
        <f>IF(E60="", "", WORKDAY(E60, F60))</f>
        <v/>
      </c>
      <c r="H60" s="15" t="n"/>
      <c r="I60" s="15" t="n"/>
      <c r="J60" s="16" t="n"/>
    </row>
    <row r="61">
      <c r="A61" s="15" t="n"/>
      <c r="B61" s="16" t="n"/>
      <c r="C61" s="16" t="n"/>
      <c r="D61" s="15" t="n"/>
      <c r="E61" s="15" t="n"/>
      <c r="F61" s="15">
        <f>IFERROR(VLOOKUP(D61, Config!A:B, 2, FALSE), "")</f>
        <v/>
      </c>
      <c r="G61" s="15">
        <f>IF(E61="", "", WORKDAY(E61, F61))</f>
        <v/>
      </c>
      <c r="H61" s="15" t="n"/>
      <c r="I61" s="15" t="n"/>
      <c r="J61" s="16" t="n"/>
    </row>
    <row r="62">
      <c r="A62" s="15" t="n"/>
      <c r="B62" s="16" t="n"/>
      <c r="C62" s="16" t="n"/>
      <c r="D62" s="15" t="n"/>
      <c r="E62" s="15" t="n"/>
      <c r="F62" s="15">
        <f>IFERROR(VLOOKUP(D62, Config!A:B, 2, FALSE), "")</f>
        <v/>
      </c>
      <c r="G62" s="15">
        <f>IF(E62="", "", WORKDAY(E62, F62))</f>
        <v/>
      </c>
      <c r="H62" s="15" t="n"/>
      <c r="I62" s="15" t="n"/>
      <c r="J62" s="16" t="n"/>
    </row>
    <row r="63">
      <c r="A63" s="15" t="n"/>
      <c r="B63" s="16" t="n"/>
      <c r="C63" s="16" t="n"/>
      <c r="D63" s="15" t="n"/>
      <c r="E63" s="15" t="n"/>
      <c r="F63" s="15">
        <f>IFERROR(VLOOKUP(D63, Config!A:B, 2, FALSE), "")</f>
        <v/>
      </c>
      <c r="G63" s="15">
        <f>IF(E63="", "", WORKDAY(E63, F63))</f>
        <v/>
      </c>
      <c r="H63" s="15" t="n"/>
      <c r="I63" s="15" t="n"/>
      <c r="J63" s="16" t="n"/>
    </row>
    <row r="64">
      <c r="A64" s="15" t="n"/>
      <c r="B64" s="16" t="n"/>
      <c r="C64" s="16" t="n"/>
      <c r="D64" s="15" t="n"/>
      <c r="E64" s="15" t="n"/>
      <c r="F64" s="15">
        <f>IFERROR(VLOOKUP(D64, Config!A:B, 2, FALSE), "")</f>
        <v/>
      </c>
      <c r="G64" s="15">
        <f>IF(E64="", "", WORKDAY(E64, F64))</f>
        <v/>
      </c>
      <c r="H64" s="15" t="n"/>
      <c r="I64" s="15" t="n"/>
      <c r="J64" s="16" t="n"/>
    </row>
    <row r="65">
      <c r="A65" s="15" t="n"/>
      <c r="B65" s="16" t="n"/>
      <c r="C65" s="16" t="n"/>
      <c r="D65" s="15" t="n"/>
      <c r="E65" s="15" t="n"/>
      <c r="F65" s="15">
        <f>IFERROR(VLOOKUP(D65, Config!A:B, 2, FALSE), "")</f>
        <v/>
      </c>
      <c r="G65" s="15">
        <f>IF(E65="", "", WORKDAY(E65, F65))</f>
        <v/>
      </c>
      <c r="H65" s="15" t="n"/>
      <c r="I65" s="15" t="n"/>
      <c r="J65" s="16" t="n"/>
    </row>
    <row r="66">
      <c r="A66" s="15" t="n"/>
      <c r="B66" s="16" t="n"/>
      <c r="C66" s="16" t="n"/>
      <c r="D66" s="15" t="n"/>
      <c r="E66" s="15" t="n"/>
      <c r="F66" s="15">
        <f>IFERROR(VLOOKUP(D66, Config!A:B, 2, FALSE), "")</f>
        <v/>
      </c>
      <c r="G66" s="15">
        <f>IF(E66="", "", WORKDAY(E66, F66))</f>
        <v/>
      </c>
      <c r="H66" s="15" t="n"/>
      <c r="I66" s="15" t="n"/>
      <c r="J66" s="16" t="n"/>
    </row>
    <row r="67">
      <c r="A67" s="15" t="n"/>
      <c r="B67" s="16" t="n"/>
      <c r="C67" s="16" t="n"/>
      <c r="D67" s="15" t="n"/>
      <c r="E67" s="15" t="n"/>
      <c r="F67" s="15">
        <f>IFERROR(VLOOKUP(D67, Config!A:B, 2, FALSE), "")</f>
        <v/>
      </c>
      <c r="G67" s="15">
        <f>IF(E67="", "", WORKDAY(E67, F67))</f>
        <v/>
      </c>
      <c r="H67" s="15" t="n"/>
      <c r="I67" s="15" t="n"/>
      <c r="J67" s="16" t="n"/>
    </row>
    <row r="68">
      <c r="A68" s="15" t="n"/>
      <c r="B68" s="16" t="n"/>
      <c r="C68" s="16" t="n"/>
      <c r="D68" s="15" t="n"/>
      <c r="E68" s="15" t="n"/>
      <c r="F68" s="15">
        <f>IFERROR(VLOOKUP(D68, Config!A:B, 2, FALSE), "")</f>
        <v/>
      </c>
      <c r="G68" s="15">
        <f>IF(E68="", "", WORKDAY(E68, F68))</f>
        <v/>
      </c>
      <c r="H68" s="15" t="n"/>
      <c r="I68" s="15" t="n"/>
      <c r="J68" s="16" t="n"/>
    </row>
    <row r="69">
      <c r="A69" s="15" t="n"/>
      <c r="B69" s="16" t="n"/>
      <c r="C69" s="16" t="n"/>
      <c r="D69" s="15" t="n"/>
      <c r="E69" s="15" t="n"/>
      <c r="F69" s="15">
        <f>IFERROR(VLOOKUP(D69, Config!A:B, 2, FALSE), "")</f>
        <v/>
      </c>
      <c r="G69" s="15">
        <f>IF(E69="", "", WORKDAY(E69, F69))</f>
        <v/>
      </c>
      <c r="H69" s="15" t="n"/>
      <c r="I69" s="15" t="n"/>
      <c r="J69" s="16" t="n"/>
    </row>
    <row r="70">
      <c r="A70" s="15" t="n"/>
      <c r="B70" s="16" t="n"/>
      <c r="C70" s="16" t="n"/>
      <c r="D70" s="15" t="n"/>
      <c r="E70" s="15" t="n"/>
      <c r="F70" s="15">
        <f>IFERROR(VLOOKUP(D70, Config!A:B, 2, FALSE), "")</f>
        <v/>
      </c>
      <c r="G70" s="15">
        <f>IF(E70="", "", WORKDAY(E70, F70))</f>
        <v/>
      </c>
      <c r="H70" s="15" t="n"/>
      <c r="I70" s="15" t="n"/>
      <c r="J70" s="16" t="n"/>
    </row>
    <row r="71">
      <c r="A71" s="15" t="n"/>
      <c r="B71" s="16" t="n"/>
      <c r="C71" s="16" t="n"/>
      <c r="D71" s="15" t="n"/>
      <c r="E71" s="15" t="n"/>
      <c r="F71" s="15">
        <f>IFERROR(VLOOKUP(D71, Config!A:B, 2, FALSE), "")</f>
        <v/>
      </c>
      <c r="G71" s="15">
        <f>IF(E71="", "", WORKDAY(E71, F71))</f>
        <v/>
      </c>
      <c r="H71" s="15" t="n"/>
      <c r="I71" s="15" t="n"/>
      <c r="J71" s="16" t="n"/>
    </row>
    <row r="72">
      <c r="A72" s="15" t="n"/>
      <c r="B72" s="16" t="n"/>
      <c r="C72" s="16" t="n"/>
      <c r="D72" s="15" t="n"/>
      <c r="E72" s="15" t="n"/>
      <c r="F72" s="15">
        <f>IFERROR(VLOOKUP(D72, Config!A:B, 2, FALSE), "")</f>
        <v/>
      </c>
      <c r="G72" s="15">
        <f>IF(E72="", "", WORKDAY(E72, F72))</f>
        <v/>
      </c>
      <c r="H72" s="15" t="n"/>
      <c r="I72" s="15" t="n"/>
      <c r="J72" s="16" t="n"/>
    </row>
    <row r="73">
      <c r="A73" s="15" t="n"/>
      <c r="B73" s="16" t="n"/>
      <c r="C73" s="16" t="n"/>
      <c r="D73" s="15" t="n"/>
      <c r="E73" s="15" t="n"/>
      <c r="F73" s="15">
        <f>IFERROR(VLOOKUP(D73, Config!A:B, 2, FALSE), "")</f>
        <v/>
      </c>
      <c r="G73" s="15">
        <f>IF(E73="", "", WORKDAY(E73, F73))</f>
        <v/>
      </c>
      <c r="H73" s="15" t="n"/>
      <c r="I73" s="15" t="n"/>
      <c r="J73" s="16" t="n"/>
    </row>
    <row r="74">
      <c r="A74" s="15" t="n"/>
      <c r="B74" s="16" t="n"/>
      <c r="C74" s="16" t="n"/>
      <c r="D74" s="15" t="n"/>
      <c r="E74" s="15" t="n"/>
      <c r="F74" s="15">
        <f>IFERROR(VLOOKUP(D74, Config!A:B, 2, FALSE), "")</f>
        <v/>
      </c>
      <c r="G74" s="15">
        <f>IF(E74="", "", WORKDAY(E74, F74))</f>
        <v/>
      </c>
      <c r="H74" s="15" t="n"/>
      <c r="I74" s="15" t="n"/>
      <c r="J74" s="16" t="n"/>
    </row>
    <row r="75">
      <c r="A75" s="15" t="n"/>
      <c r="B75" s="16" t="n"/>
      <c r="C75" s="16" t="n"/>
      <c r="D75" s="15" t="n"/>
      <c r="E75" s="15" t="n"/>
      <c r="F75" s="15">
        <f>IFERROR(VLOOKUP(D75, Config!A:B, 2, FALSE), "")</f>
        <v/>
      </c>
      <c r="G75" s="15">
        <f>IF(E75="", "", WORKDAY(E75, F75))</f>
        <v/>
      </c>
      <c r="H75" s="15" t="n"/>
      <c r="I75" s="15" t="n"/>
      <c r="J75" s="16" t="n"/>
    </row>
    <row r="76">
      <c r="A76" s="15" t="n"/>
      <c r="B76" s="16" t="n"/>
      <c r="C76" s="16" t="n"/>
      <c r="D76" s="15" t="n"/>
      <c r="E76" s="15" t="n"/>
      <c r="F76" s="15">
        <f>IFERROR(VLOOKUP(D76, Config!A:B, 2, FALSE), "")</f>
        <v/>
      </c>
      <c r="G76" s="15">
        <f>IF(E76="", "", WORKDAY(E76, F76))</f>
        <v/>
      </c>
      <c r="H76" s="15" t="n"/>
      <c r="I76" s="15" t="n"/>
      <c r="J76" s="16" t="n"/>
    </row>
    <row r="77">
      <c r="A77" s="15" t="n"/>
      <c r="B77" s="16" t="n"/>
      <c r="C77" s="16" t="n"/>
      <c r="D77" s="15" t="n"/>
      <c r="E77" s="15" t="n"/>
      <c r="F77" s="15">
        <f>IFERROR(VLOOKUP(D77, Config!A:B, 2, FALSE), "")</f>
        <v/>
      </c>
      <c r="G77" s="15">
        <f>IF(E77="", "", WORKDAY(E77, F77))</f>
        <v/>
      </c>
      <c r="H77" s="15" t="n"/>
      <c r="I77" s="15" t="n"/>
      <c r="J77" s="16" t="n"/>
    </row>
    <row r="78">
      <c r="A78" s="15" t="n"/>
      <c r="B78" s="16" t="n"/>
      <c r="C78" s="16" t="n"/>
      <c r="D78" s="15" t="n"/>
      <c r="E78" s="15" t="n"/>
      <c r="F78" s="15">
        <f>IFERROR(VLOOKUP(D78, Config!A:B, 2, FALSE), "")</f>
        <v/>
      </c>
      <c r="G78" s="15">
        <f>IF(E78="", "", WORKDAY(E78, F78))</f>
        <v/>
      </c>
      <c r="H78" s="15" t="n"/>
      <c r="I78" s="15" t="n"/>
      <c r="J78" s="16" t="n"/>
    </row>
    <row r="79">
      <c r="A79" s="15" t="n"/>
      <c r="B79" s="16" t="n"/>
      <c r="C79" s="16" t="n"/>
      <c r="D79" s="15" t="n"/>
      <c r="E79" s="15" t="n"/>
      <c r="F79" s="15">
        <f>IFERROR(VLOOKUP(D79, Config!A:B, 2, FALSE), "")</f>
        <v/>
      </c>
      <c r="G79" s="15">
        <f>IF(E79="", "", WORKDAY(E79, F79))</f>
        <v/>
      </c>
      <c r="H79" s="15" t="n"/>
      <c r="I79" s="15" t="n"/>
      <c r="J79" s="16" t="n"/>
    </row>
    <row r="80">
      <c r="A80" s="15" t="n"/>
      <c r="B80" s="16" t="n"/>
      <c r="C80" s="16" t="n"/>
      <c r="D80" s="15" t="n"/>
      <c r="E80" s="15" t="n"/>
      <c r="F80" s="15">
        <f>IFERROR(VLOOKUP(D80, Config!A:B, 2, FALSE), "")</f>
        <v/>
      </c>
      <c r="G80" s="15">
        <f>IF(E80="", "", WORKDAY(E80, F80))</f>
        <v/>
      </c>
      <c r="H80" s="15" t="n"/>
      <c r="I80" s="15" t="n"/>
      <c r="J80" s="16" t="n"/>
    </row>
    <row r="81">
      <c r="A81" s="15" t="n"/>
      <c r="B81" s="16" t="n"/>
      <c r="C81" s="16" t="n"/>
      <c r="D81" s="15" t="n"/>
      <c r="E81" s="15" t="n"/>
      <c r="F81" s="15">
        <f>IFERROR(VLOOKUP(D81, Config!A:B, 2, FALSE), "")</f>
        <v/>
      </c>
      <c r="G81" s="15">
        <f>IF(E81="", "", WORKDAY(E81, F81))</f>
        <v/>
      </c>
      <c r="H81" s="15" t="n"/>
      <c r="I81" s="15" t="n"/>
      <c r="J81" s="16" t="n"/>
    </row>
    <row r="82">
      <c r="A82" s="15" t="n"/>
      <c r="B82" s="16" t="n"/>
      <c r="C82" s="16" t="n"/>
      <c r="D82" s="15" t="n"/>
      <c r="E82" s="15" t="n"/>
      <c r="F82" s="15">
        <f>IFERROR(VLOOKUP(D82, Config!A:B, 2, FALSE), "")</f>
        <v/>
      </c>
      <c r="G82" s="15">
        <f>IF(E82="", "", WORKDAY(E82, F82))</f>
        <v/>
      </c>
      <c r="H82" s="15" t="n"/>
      <c r="I82" s="15" t="n"/>
      <c r="J82" s="16" t="n"/>
    </row>
    <row r="83">
      <c r="A83" s="15" t="n"/>
      <c r="B83" s="16" t="n"/>
      <c r="C83" s="16" t="n"/>
      <c r="D83" s="15" t="n"/>
      <c r="E83" s="15" t="n"/>
      <c r="F83" s="15">
        <f>IFERROR(VLOOKUP(D83, Config!A:B, 2, FALSE), "")</f>
        <v/>
      </c>
      <c r="G83" s="15">
        <f>IF(E83="", "", WORKDAY(E83, F83))</f>
        <v/>
      </c>
      <c r="H83" s="15" t="n"/>
      <c r="I83" s="15" t="n"/>
      <c r="J83" s="16" t="n"/>
    </row>
    <row r="84">
      <c r="A84" s="15" t="n"/>
      <c r="B84" s="16" t="n"/>
      <c r="C84" s="16" t="n"/>
      <c r="D84" s="15" t="n"/>
      <c r="E84" s="15" t="n"/>
      <c r="F84" s="15">
        <f>IFERROR(VLOOKUP(D84, Config!A:B, 2, FALSE), "")</f>
        <v/>
      </c>
      <c r="G84" s="15">
        <f>IF(E84="", "", WORKDAY(E84, F84))</f>
        <v/>
      </c>
      <c r="H84" s="15" t="n"/>
      <c r="I84" s="15" t="n"/>
      <c r="J84" s="16" t="n"/>
    </row>
    <row r="85">
      <c r="A85" s="15" t="n"/>
      <c r="B85" s="16" t="n"/>
      <c r="C85" s="16" t="n"/>
      <c r="D85" s="15" t="n"/>
      <c r="E85" s="15" t="n"/>
      <c r="F85" s="15">
        <f>IFERROR(VLOOKUP(D85, Config!A:B, 2, FALSE), "")</f>
        <v/>
      </c>
      <c r="G85" s="15">
        <f>IF(E85="", "", WORKDAY(E85, F85))</f>
        <v/>
      </c>
      <c r="H85" s="15" t="n"/>
      <c r="I85" s="15" t="n"/>
      <c r="J85" s="16" t="n"/>
    </row>
    <row r="86">
      <c r="A86" s="15" t="n"/>
      <c r="B86" s="16" t="n"/>
      <c r="C86" s="16" t="n"/>
      <c r="D86" s="15" t="n"/>
      <c r="E86" s="15" t="n"/>
      <c r="F86" s="15">
        <f>IFERROR(VLOOKUP(D86, Config!A:B, 2, FALSE), "")</f>
        <v/>
      </c>
      <c r="G86" s="15">
        <f>IF(E86="", "", WORKDAY(E86, F86))</f>
        <v/>
      </c>
      <c r="H86" s="15" t="n"/>
      <c r="I86" s="15" t="n"/>
      <c r="J86" s="16" t="n"/>
    </row>
    <row r="87">
      <c r="A87" s="15" t="n"/>
      <c r="B87" s="16" t="n"/>
      <c r="C87" s="16" t="n"/>
      <c r="D87" s="15" t="n"/>
      <c r="E87" s="15" t="n"/>
      <c r="F87" s="15">
        <f>IFERROR(VLOOKUP(D87, Config!A:B, 2, FALSE), "")</f>
        <v/>
      </c>
      <c r="G87" s="15">
        <f>IF(E87="", "", WORKDAY(E87, F87))</f>
        <v/>
      </c>
      <c r="H87" s="15" t="n"/>
      <c r="I87" s="15" t="n"/>
      <c r="J87" s="16" t="n"/>
    </row>
    <row r="88">
      <c r="A88" s="15" t="n"/>
      <c r="B88" s="16" t="n"/>
      <c r="C88" s="16" t="n"/>
      <c r="D88" s="15" t="n"/>
      <c r="E88" s="15" t="n"/>
      <c r="F88" s="15">
        <f>IFERROR(VLOOKUP(D88, Config!A:B, 2, FALSE), "")</f>
        <v/>
      </c>
      <c r="G88" s="15">
        <f>IF(E88="", "", WORKDAY(E88, F88))</f>
        <v/>
      </c>
      <c r="H88" s="15" t="n"/>
      <c r="I88" s="15" t="n"/>
      <c r="J88" s="16" t="n"/>
    </row>
    <row r="89">
      <c r="A89" s="15" t="n"/>
      <c r="B89" s="16" t="n"/>
      <c r="C89" s="16" t="n"/>
      <c r="D89" s="15" t="n"/>
      <c r="E89" s="15" t="n"/>
      <c r="F89" s="15">
        <f>IFERROR(VLOOKUP(D89, Config!A:B, 2, FALSE), "")</f>
        <v/>
      </c>
      <c r="G89" s="15">
        <f>IF(E89="", "", WORKDAY(E89, F89))</f>
        <v/>
      </c>
      <c r="H89" s="15" t="n"/>
      <c r="I89" s="15" t="n"/>
      <c r="J89" s="16" t="n"/>
    </row>
    <row r="90">
      <c r="A90" s="15" t="n"/>
      <c r="B90" s="16" t="n"/>
      <c r="C90" s="16" t="n"/>
      <c r="D90" s="15" t="n"/>
      <c r="E90" s="15" t="n"/>
      <c r="F90" s="15">
        <f>IFERROR(VLOOKUP(D90, Config!A:B, 2, FALSE), "")</f>
        <v/>
      </c>
      <c r="G90" s="15">
        <f>IF(E90="", "", WORKDAY(E90, F90))</f>
        <v/>
      </c>
      <c r="H90" s="15" t="n"/>
      <c r="I90" s="15" t="n"/>
      <c r="J90" s="16" t="n"/>
    </row>
    <row r="91">
      <c r="A91" s="15" t="n"/>
      <c r="B91" s="16" t="n"/>
      <c r="C91" s="16" t="n"/>
      <c r="D91" s="15" t="n"/>
      <c r="E91" s="15" t="n"/>
      <c r="F91" s="15">
        <f>IFERROR(VLOOKUP(D91, Config!A:B, 2, FALSE), "")</f>
        <v/>
      </c>
      <c r="G91" s="15">
        <f>IF(E91="", "", WORKDAY(E91, F91))</f>
        <v/>
      </c>
      <c r="H91" s="15" t="n"/>
      <c r="I91" s="15" t="n"/>
      <c r="J91" s="16" t="n"/>
    </row>
    <row r="92">
      <c r="A92" s="15" t="n"/>
      <c r="B92" s="16" t="n"/>
      <c r="C92" s="16" t="n"/>
      <c r="D92" s="15" t="n"/>
      <c r="E92" s="15" t="n"/>
      <c r="F92" s="15">
        <f>IFERROR(VLOOKUP(D92, Config!A:B, 2, FALSE), "")</f>
        <v/>
      </c>
      <c r="G92" s="15">
        <f>IF(E92="", "", WORKDAY(E92, F92))</f>
        <v/>
      </c>
      <c r="H92" s="15" t="n"/>
      <c r="I92" s="15" t="n"/>
      <c r="J92" s="16" t="n"/>
    </row>
    <row r="93">
      <c r="A93" s="15" t="n"/>
      <c r="B93" s="16" t="n"/>
      <c r="C93" s="16" t="n"/>
      <c r="D93" s="15" t="n"/>
      <c r="E93" s="15" t="n"/>
      <c r="F93" s="15">
        <f>IFERROR(VLOOKUP(D93, Config!A:B, 2, FALSE), "")</f>
        <v/>
      </c>
      <c r="G93" s="15">
        <f>IF(E93="", "", WORKDAY(E93, F93))</f>
        <v/>
      </c>
      <c r="H93" s="15" t="n"/>
      <c r="I93" s="15" t="n"/>
      <c r="J93" s="16" t="n"/>
    </row>
    <row r="94">
      <c r="A94" s="15" t="n"/>
      <c r="B94" s="16" t="n"/>
      <c r="C94" s="16" t="n"/>
      <c r="D94" s="15" t="n"/>
      <c r="E94" s="15" t="n"/>
      <c r="F94" s="15">
        <f>IFERROR(VLOOKUP(D94, Config!A:B, 2, FALSE), "")</f>
        <v/>
      </c>
      <c r="G94" s="15">
        <f>IF(E94="", "", WORKDAY(E94, F94))</f>
        <v/>
      </c>
      <c r="H94" s="15" t="n"/>
      <c r="I94" s="15" t="n"/>
      <c r="J94" s="16" t="n"/>
    </row>
    <row r="95">
      <c r="A95" s="15" t="n"/>
      <c r="B95" s="16" t="n"/>
      <c r="C95" s="16" t="n"/>
      <c r="D95" s="15" t="n"/>
      <c r="E95" s="15" t="n"/>
      <c r="F95" s="15">
        <f>IFERROR(VLOOKUP(D95, Config!A:B, 2, FALSE), "")</f>
        <v/>
      </c>
      <c r="G95" s="15">
        <f>IF(E95="", "", WORKDAY(E95, F95))</f>
        <v/>
      </c>
      <c r="H95" s="15" t="n"/>
      <c r="I95" s="15" t="n"/>
      <c r="J95" s="16" t="n"/>
    </row>
    <row r="96">
      <c r="A96" s="15" t="n"/>
      <c r="B96" s="16" t="n"/>
      <c r="C96" s="16" t="n"/>
      <c r="D96" s="15" t="n"/>
      <c r="E96" s="15" t="n"/>
      <c r="F96" s="15">
        <f>IFERROR(VLOOKUP(D96, Config!A:B, 2, FALSE), "")</f>
        <v/>
      </c>
      <c r="G96" s="15">
        <f>IF(E96="", "", WORKDAY(E96, F96))</f>
        <v/>
      </c>
      <c r="H96" s="15" t="n"/>
      <c r="I96" s="15" t="n"/>
      <c r="J96" s="16" t="n"/>
    </row>
    <row r="97">
      <c r="A97" s="15" t="n"/>
      <c r="B97" s="16" t="n"/>
      <c r="C97" s="16" t="n"/>
      <c r="D97" s="15" t="n"/>
      <c r="E97" s="15" t="n"/>
      <c r="F97" s="15">
        <f>IFERROR(VLOOKUP(D97, Config!A:B, 2, FALSE), "")</f>
        <v/>
      </c>
      <c r="G97" s="15">
        <f>IF(E97="", "", WORKDAY(E97, F97))</f>
        <v/>
      </c>
      <c r="H97" s="15" t="n"/>
      <c r="I97" s="15" t="n"/>
      <c r="J97" s="16" t="n"/>
    </row>
    <row r="98">
      <c r="A98" s="15" t="n"/>
      <c r="B98" s="16" t="n"/>
      <c r="C98" s="16" t="n"/>
      <c r="D98" s="15" t="n"/>
      <c r="E98" s="15" t="n"/>
      <c r="F98" s="15">
        <f>IFERROR(VLOOKUP(D98, Config!A:B, 2, FALSE), "")</f>
        <v/>
      </c>
      <c r="G98" s="15">
        <f>IF(E98="", "", WORKDAY(E98, F98))</f>
        <v/>
      </c>
      <c r="H98" s="15" t="n"/>
      <c r="I98" s="15" t="n"/>
      <c r="J98" s="16" t="n"/>
    </row>
    <row r="99">
      <c r="A99" s="15" t="n"/>
      <c r="B99" s="16" t="n"/>
      <c r="C99" s="16" t="n"/>
      <c r="D99" s="15" t="n"/>
      <c r="E99" s="15" t="n"/>
      <c r="F99" s="15">
        <f>IFERROR(VLOOKUP(D99, Config!A:B, 2, FALSE), "")</f>
        <v/>
      </c>
      <c r="G99" s="15">
        <f>IF(E99="", "", WORKDAY(E99, F99))</f>
        <v/>
      </c>
      <c r="H99" s="15" t="n"/>
      <c r="I99" s="15" t="n"/>
      <c r="J99" s="16" t="n"/>
    </row>
    <row r="100">
      <c r="A100" s="15" t="n"/>
      <c r="B100" s="16" t="n"/>
      <c r="C100" s="16" t="n"/>
      <c r="D100" s="15" t="n"/>
      <c r="E100" s="15" t="n"/>
      <c r="F100" s="15">
        <f>IFERROR(VLOOKUP(D100, Config!A:B, 2, FALSE), "")</f>
        <v/>
      </c>
      <c r="G100" s="15">
        <f>IF(E100="", "", WORKDAY(E100, F100))</f>
        <v/>
      </c>
      <c r="H100" s="15" t="n"/>
      <c r="I100" s="15" t="n"/>
      <c r="J100" s="16" t="n"/>
    </row>
  </sheetData>
  <conditionalFormatting sqref="D2:D1000">
    <cfRule type="cellIs" priority="1" operator="equal" dxfId="3">
      <formula>"Baixa"</formula>
    </cfRule>
    <cfRule type="cellIs" priority="2" operator="equal" dxfId="4">
      <formula>"Média"</formula>
    </cfRule>
    <cfRule type="cellIs" priority="3" operator="equal" dxfId="5">
      <formula>"Alta"</formula>
    </cfRule>
  </conditionalFormatting>
  <conditionalFormatting sqref="H2:H1000">
    <cfRule type="cellIs" priority="4" operator="equal" dxfId="3">
      <formula>"Finalizada"</formula>
    </cfRule>
  </conditionalFormatting>
  <dataValidations count="2">
    <dataValidation sqref="D2:D1000" showDropDown="1" showInputMessage="0" showErrorMessage="0" allowBlank="0" type="list">
      <formula1>"Baixa,Média,Alta"</formula1>
    </dataValidation>
    <dataValidation sqref="H2:H1000" showDropDown="1" showInputMessage="0" showErrorMessage="0" allowBlank="0" type="list">
      <formula1>"Pendente,Em Andamento,Finalizada"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2026-02-08T22:42:58Z</dcterms:created>
  <dcterms:modified xsi:type="dcterms:W3CDTF">2026-02-08T22:43:00Z</dcterms:modified>
</cp:coreProperties>
</file>