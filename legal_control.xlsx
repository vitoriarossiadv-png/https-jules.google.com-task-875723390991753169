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nfig" sheetId="2" state="hidden" r:id="rId2"/>
    <sheet name="Entrada" sheetId="3" state="visible" r:id="rId3"/>
    <sheet name="Jan" sheetId="4" state="visible" r:id="rId4"/>
    <sheet name="Fev" sheetId="5" state="visible" r:id="rId5"/>
    <sheet name="Mar" sheetId="6" state="visible" r:id="rId6"/>
    <sheet name="Abr" sheetId="7" state="visible" r:id="rId7"/>
    <sheet name="Mai" sheetId="8" state="visible" r:id="rId8"/>
    <sheet name="Jun" sheetId="9" state="visible" r:id="rId9"/>
    <sheet name="Jul" sheetId="10" state="visible" r:id="rId10"/>
    <sheet name="Ago" sheetId="11" state="visible" r:id="rId11"/>
    <sheet name="Set" sheetId="12" state="visible" r:id="rId12"/>
    <sheet name="Out" sheetId="13" state="visible" r:id="rId13"/>
    <sheet name="Nov" sheetId="14" state="visible" r:id="rId14"/>
    <sheet name="Dez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2C3E50"/>
      <sz val="20"/>
    </font>
    <font>
      <b val="1"/>
    </font>
  </fonts>
  <fills count="3">
    <fill>
      <patternFill/>
    </fill>
    <fill>
      <patternFill patternType="gray125"/>
    </fill>
    <fill>
      <patternFill patternType="solid">
        <fgColor rgb="0036454F"/>
        <bgColor rgb="0036454F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DASHBOARD - GESTÃO DE PROTOCOLOS</t>
        </is>
      </c>
    </row>
    <row r="3">
      <c r="A3" s="2" t="inlineStr">
        <is>
          <t>Total Iniciais Lançadas</t>
        </is>
      </c>
      <c r="B3" s="2" t="inlineStr">
        <is>
          <t>Total Finalizadas</t>
        </is>
      </c>
      <c r="C3" s="2" t="inlineStr">
        <is>
          <t>% Meta Batida</t>
        </is>
      </c>
      <c r="D3" s="2" t="inlineStr">
        <is>
          <t>Status da Meta</t>
        </is>
      </c>
      <c r="E3" s="2" t="n"/>
    </row>
    <row r="4">
      <c r="A4">
        <f>COUNTA(Entrada!A:A)-1</f>
        <v/>
      </c>
      <c r="B4">
        <f>(COUNTA(Jan!A:A)-1)+(COUNTA(Fev!A:A)-1)+(COUNTA(Mar!A:A)-1)+(COUNTA(Abr!A:A)-1)+(COUNTA(Mai!A:A)-1)+(COUNTA(Jun!A:A)-1)+(COUNTA(Jul!A:A)-1)+(COUNTA(Ago!A:A)-1)+(COUNTA(Set!A:A)-1)+(COUNTA(Out!A:A)-1)+(COUNTA(Nov!A:A)-1)+(COUNTA(Dez!A:A)-1)</f>
        <v/>
      </c>
      <c r="C4" s="3">
        <f>IF((A4+B4)=0, 0, B4/(A4+B4))</f>
        <v/>
      </c>
      <c r="D4">
        <f>IF(C4=1, "Supermeta", IF(C4&gt;=0.8, "Meta Batida", "Meta Não Batida"))</f>
        <v/>
      </c>
    </row>
  </sheetData>
  <mergeCells count="1">
    <mergeCell ref="A1:E1"/>
  </mergeCells>
  <conditionalFormatting sqref="D4">
    <cfRule type="cellIs" priority="1" operator="equal" dxfId="0" stopIfTrue="1">
      <formula>"Meta Não Batida"</formula>
    </cfRule>
    <cfRule type="cellIs" priority="2" operator="equal" dxfId="1" stopIfTrue="1">
      <formula>"Meta Batida"</formula>
    </cfRule>
    <cfRule type="cellIs" priority="3" operator="equal" dxfId="2" stopIfTrue="1">
      <formula>"Supermeta"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Complexidade</t>
        </is>
      </c>
      <c r="B1" t="inlineStr">
        <is>
          <t>Dias</t>
        </is>
      </c>
    </row>
    <row r="2">
      <c r="A2" t="inlineStr">
        <is>
          <t>Baixa</t>
        </is>
      </c>
      <c r="B2" t="n">
        <v>4</v>
      </c>
    </row>
    <row r="3">
      <c r="A3" t="inlineStr">
        <is>
          <t>Média</t>
        </is>
      </c>
      <c r="B3" t="n">
        <v>7</v>
      </c>
    </row>
    <row r="4">
      <c r="A4" t="inlineStr">
        <is>
          <t>Alta</t>
        </is>
      </c>
      <c r="B4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  <row r="2">
      <c r="F2">
        <f>IFERROR(VLOOKUP(D2, Config!A:B, 2, FALSE), 0)</f>
        <v/>
      </c>
      <c r="G2">
        <f>IF(E2="", "", WORKDAY(E2, F2))</f>
        <v/>
      </c>
    </row>
    <row r="3">
      <c r="F3">
        <f>IFERROR(VLOOKUP(D3, Config!A:B, 2, FALSE), 0)</f>
        <v/>
      </c>
      <c r="G3">
        <f>IF(E3="", "", WORKDAY(E3, F3))</f>
        <v/>
      </c>
    </row>
    <row r="4">
      <c r="F4">
        <f>IFERROR(VLOOKUP(D4, Config!A:B, 2, FALSE), 0)</f>
        <v/>
      </c>
      <c r="G4">
        <f>IF(E4="", "", WORKDAY(E4, F4))</f>
        <v/>
      </c>
    </row>
    <row r="5">
      <c r="F5">
        <f>IFERROR(VLOOKUP(D5, Config!A:B, 2, FALSE), 0)</f>
        <v/>
      </c>
      <c r="G5">
        <f>IF(E5="", "", WORKDAY(E5, F5))</f>
        <v/>
      </c>
    </row>
    <row r="6">
      <c r="F6">
        <f>IFERROR(VLOOKUP(D6, Config!A:B, 2, FALSE), 0)</f>
        <v/>
      </c>
      <c r="G6">
        <f>IF(E6="", "", WORKDAY(E6, F6))</f>
        <v/>
      </c>
    </row>
    <row r="7">
      <c r="F7">
        <f>IFERROR(VLOOKUP(D7, Config!A:B, 2, FALSE), 0)</f>
        <v/>
      </c>
      <c r="G7">
        <f>IF(E7="", "", WORKDAY(E7, F7))</f>
        <v/>
      </c>
    </row>
    <row r="8">
      <c r="F8">
        <f>IFERROR(VLOOKUP(D8, Config!A:B, 2, FALSE), 0)</f>
        <v/>
      </c>
      <c r="G8">
        <f>IF(E8="", "", WORKDAY(E8, F8))</f>
        <v/>
      </c>
    </row>
    <row r="9">
      <c r="F9">
        <f>IFERROR(VLOOKUP(D9, Config!A:B, 2, FALSE), 0)</f>
        <v/>
      </c>
      <c r="G9">
        <f>IF(E9="", "", WORKDAY(E9, F9))</f>
        <v/>
      </c>
    </row>
    <row r="10">
      <c r="F10">
        <f>IFERROR(VLOOKUP(D10, Config!A:B, 2, FALSE), 0)</f>
        <v/>
      </c>
      <c r="G10">
        <f>IF(E10="", "", WORKDAY(E10, F10))</f>
        <v/>
      </c>
    </row>
    <row r="11">
      <c r="F11">
        <f>IFERROR(VLOOKUP(D11, Config!A:B, 2, FALSE), 0)</f>
        <v/>
      </c>
      <c r="G11">
        <f>IF(E11="", "", WORKDAY(E11, F11))</f>
        <v/>
      </c>
    </row>
    <row r="12">
      <c r="F12">
        <f>IFERROR(VLOOKUP(D12, Config!A:B, 2, FALSE), 0)</f>
        <v/>
      </c>
      <c r="G12">
        <f>IF(E12="", "", WORKDAY(E12, F12))</f>
        <v/>
      </c>
    </row>
    <row r="13">
      <c r="F13">
        <f>IFERROR(VLOOKUP(D13, Config!A:B, 2, FALSE), 0)</f>
        <v/>
      </c>
      <c r="G13">
        <f>IF(E13="", "", WORKDAY(E13, F13))</f>
        <v/>
      </c>
    </row>
    <row r="14">
      <c r="F14">
        <f>IFERROR(VLOOKUP(D14, Config!A:B, 2, FALSE), 0)</f>
        <v/>
      </c>
      <c r="G14">
        <f>IF(E14="", "", WORKDAY(E14, F14))</f>
        <v/>
      </c>
    </row>
    <row r="15">
      <c r="F15">
        <f>IFERROR(VLOOKUP(D15, Config!A:B, 2, FALSE), 0)</f>
        <v/>
      </c>
      <c r="G15">
        <f>IF(E15="", "", WORKDAY(E15, F15))</f>
        <v/>
      </c>
    </row>
    <row r="16">
      <c r="F16">
        <f>IFERROR(VLOOKUP(D16, Config!A:B, 2, FALSE), 0)</f>
        <v/>
      </c>
      <c r="G16">
        <f>IF(E16="", "", WORKDAY(E16, F16))</f>
        <v/>
      </c>
    </row>
    <row r="17">
      <c r="F17">
        <f>IFERROR(VLOOKUP(D17, Config!A:B, 2, FALSE), 0)</f>
        <v/>
      </c>
      <c r="G17">
        <f>IF(E17="", "", WORKDAY(E17, F17))</f>
        <v/>
      </c>
    </row>
    <row r="18">
      <c r="F18">
        <f>IFERROR(VLOOKUP(D18, Config!A:B, 2, FALSE), 0)</f>
        <v/>
      </c>
      <c r="G18">
        <f>IF(E18="", "", WORKDAY(E18, F18))</f>
        <v/>
      </c>
    </row>
    <row r="19">
      <c r="F19">
        <f>IFERROR(VLOOKUP(D19, Config!A:B, 2, FALSE), 0)</f>
        <v/>
      </c>
      <c r="G19">
        <f>IF(E19="", "", WORKDAY(E19, F19))</f>
        <v/>
      </c>
    </row>
    <row r="20">
      <c r="F20">
        <f>IFERROR(VLOOKUP(D20, Config!A:B, 2, FALSE), 0)</f>
        <v/>
      </c>
      <c r="G20">
        <f>IF(E20="", "", WORKDAY(E20, F20))</f>
        <v/>
      </c>
    </row>
    <row r="21">
      <c r="F21">
        <f>IFERROR(VLOOKUP(D21, Config!A:B, 2, FALSE), 0)</f>
        <v/>
      </c>
      <c r="G21">
        <f>IF(E21="", "", WORKDAY(E21, F21))</f>
        <v/>
      </c>
    </row>
    <row r="22">
      <c r="F22">
        <f>IFERROR(VLOOKUP(D22, Config!A:B, 2, FALSE), 0)</f>
        <v/>
      </c>
      <c r="G22">
        <f>IF(E22="", "", WORKDAY(E22, F22))</f>
        <v/>
      </c>
    </row>
    <row r="23">
      <c r="F23">
        <f>IFERROR(VLOOKUP(D23, Config!A:B, 2, FALSE), 0)</f>
        <v/>
      </c>
      <c r="G23">
        <f>IF(E23="", "", WORKDAY(E23, F23))</f>
        <v/>
      </c>
    </row>
    <row r="24">
      <c r="F24">
        <f>IFERROR(VLOOKUP(D24, Config!A:B, 2, FALSE), 0)</f>
        <v/>
      </c>
      <c r="G24">
        <f>IF(E24="", "", WORKDAY(E24, F24))</f>
        <v/>
      </c>
    </row>
    <row r="25">
      <c r="F25">
        <f>IFERROR(VLOOKUP(D25, Config!A:B, 2, FALSE), 0)</f>
        <v/>
      </c>
      <c r="G25">
        <f>IF(E25="", "", WORKDAY(E25, F25))</f>
        <v/>
      </c>
    </row>
    <row r="26">
      <c r="F26">
        <f>IFERROR(VLOOKUP(D26, Config!A:B, 2, FALSE), 0)</f>
        <v/>
      </c>
      <c r="G26">
        <f>IF(E26="", "", WORKDAY(E26, F26))</f>
        <v/>
      </c>
    </row>
    <row r="27">
      <c r="F27">
        <f>IFERROR(VLOOKUP(D27, Config!A:B, 2, FALSE), 0)</f>
        <v/>
      </c>
      <c r="G27">
        <f>IF(E27="", "", WORKDAY(E27, F27))</f>
        <v/>
      </c>
    </row>
    <row r="28">
      <c r="F28">
        <f>IFERROR(VLOOKUP(D28, Config!A:B, 2, FALSE), 0)</f>
        <v/>
      </c>
      <c r="G28">
        <f>IF(E28="", "", WORKDAY(E28, F28))</f>
        <v/>
      </c>
    </row>
    <row r="29">
      <c r="F29">
        <f>IFERROR(VLOOKUP(D29, Config!A:B, 2, FALSE), 0)</f>
        <v/>
      </c>
      <c r="G29">
        <f>IF(E29="", "", WORKDAY(E29, F29))</f>
        <v/>
      </c>
    </row>
    <row r="30">
      <c r="F30">
        <f>IFERROR(VLOOKUP(D30, Config!A:B, 2, FALSE), 0)</f>
        <v/>
      </c>
      <c r="G30">
        <f>IF(E30="", "", WORKDAY(E30, F30))</f>
        <v/>
      </c>
    </row>
    <row r="31">
      <c r="F31">
        <f>IFERROR(VLOOKUP(D31, Config!A:B, 2, FALSE), 0)</f>
        <v/>
      </c>
      <c r="G31">
        <f>IF(E31="", "", WORKDAY(E31, F31))</f>
        <v/>
      </c>
    </row>
    <row r="32">
      <c r="F32">
        <f>IFERROR(VLOOKUP(D32, Config!A:B, 2, FALSE), 0)</f>
        <v/>
      </c>
      <c r="G32">
        <f>IF(E32="", "", WORKDAY(E32, F32))</f>
        <v/>
      </c>
    </row>
    <row r="33">
      <c r="F33">
        <f>IFERROR(VLOOKUP(D33, Config!A:B, 2, FALSE), 0)</f>
        <v/>
      </c>
      <c r="G33">
        <f>IF(E33="", "", WORKDAY(E33, F33))</f>
        <v/>
      </c>
    </row>
    <row r="34">
      <c r="F34">
        <f>IFERROR(VLOOKUP(D34, Config!A:B, 2, FALSE), 0)</f>
        <v/>
      </c>
      <c r="G34">
        <f>IF(E34="", "", WORKDAY(E34, F34))</f>
        <v/>
      </c>
    </row>
    <row r="35">
      <c r="F35">
        <f>IFERROR(VLOOKUP(D35, Config!A:B, 2, FALSE), 0)</f>
        <v/>
      </c>
      <c r="G35">
        <f>IF(E35="", "", WORKDAY(E35, F35))</f>
        <v/>
      </c>
    </row>
    <row r="36">
      <c r="F36">
        <f>IFERROR(VLOOKUP(D36, Config!A:B, 2, FALSE), 0)</f>
        <v/>
      </c>
      <c r="G36">
        <f>IF(E36="", "", WORKDAY(E36, F36))</f>
        <v/>
      </c>
    </row>
    <row r="37">
      <c r="F37">
        <f>IFERROR(VLOOKUP(D37, Config!A:B, 2, FALSE), 0)</f>
        <v/>
      </c>
      <c r="G37">
        <f>IF(E37="", "", WORKDAY(E37, F37))</f>
        <v/>
      </c>
    </row>
    <row r="38">
      <c r="F38">
        <f>IFERROR(VLOOKUP(D38, Config!A:B, 2, FALSE), 0)</f>
        <v/>
      </c>
      <c r="G38">
        <f>IF(E38="", "", WORKDAY(E38, F38))</f>
        <v/>
      </c>
    </row>
    <row r="39">
      <c r="F39">
        <f>IFERROR(VLOOKUP(D39, Config!A:B, 2, FALSE), 0)</f>
        <v/>
      </c>
      <c r="G39">
        <f>IF(E39="", "", WORKDAY(E39, F39))</f>
        <v/>
      </c>
    </row>
    <row r="40">
      <c r="F40">
        <f>IFERROR(VLOOKUP(D40, Config!A:B, 2, FALSE), 0)</f>
        <v/>
      </c>
      <c r="G40">
        <f>IF(E40="", "", WORKDAY(E40, F40))</f>
        <v/>
      </c>
    </row>
    <row r="41">
      <c r="F41">
        <f>IFERROR(VLOOKUP(D41, Config!A:B, 2, FALSE), 0)</f>
        <v/>
      </c>
      <c r="G41">
        <f>IF(E41="", "", WORKDAY(E41, F41))</f>
        <v/>
      </c>
    </row>
    <row r="42">
      <c r="F42">
        <f>IFERROR(VLOOKUP(D42, Config!A:B, 2, FALSE), 0)</f>
        <v/>
      </c>
      <c r="G42">
        <f>IF(E42="", "", WORKDAY(E42, F42))</f>
        <v/>
      </c>
    </row>
    <row r="43">
      <c r="F43">
        <f>IFERROR(VLOOKUP(D43, Config!A:B, 2, FALSE), 0)</f>
        <v/>
      </c>
      <c r="G43">
        <f>IF(E43="", "", WORKDAY(E43, F43))</f>
        <v/>
      </c>
    </row>
    <row r="44">
      <c r="F44">
        <f>IFERROR(VLOOKUP(D44, Config!A:B, 2, FALSE), 0)</f>
        <v/>
      </c>
      <c r="G44">
        <f>IF(E44="", "", WORKDAY(E44, F44))</f>
        <v/>
      </c>
    </row>
    <row r="45">
      <c r="F45">
        <f>IFERROR(VLOOKUP(D45, Config!A:B, 2, FALSE), 0)</f>
        <v/>
      </c>
      <c r="G45">
        <f>IF(E45="", "", WORKDAY(E45, F45))</f>
        <v/>
      </c>
    </row>
    <row r="46">
      <c r="F46">
        <f>IFERROR(VLOOKUP(D46, Config!A:B, 2, FALSE), 0)</f>
        <v/>
      </c>
      <c r="G46">
        <f>IF(E46="", "", WORKDAY(E46, F46))</f>
        <v/>
      </c>
    </row>
    <row r="47">
      <c r="F47">
        <f>IFERROR(VLOOKUP(D47, Config!A:B, 2, FALSE), 0)</f>
        <v/>
      </c>
      <c r="G47">
        <f>IF(E47="", "", WORKDAY(E47, F47))</f>
        <v/>
      </c>
    </row>
    <row r="48">
      <c r="F48">
        <f>IFERROR(VLOOKUP(D48, Config!A:B, 2, FALSE), 0)</f>
        <v/>
      </c>
      <c r="G48">
        <f>IF(E48="", "", WORKDAY(E48, F48))</f>
        <v/>
      </c>
    </row>
    <row r="49">
      <c r="F49">
        <f>IFERROR(VLOOKUP(D49, Config!A:B, 2, FALSE), 0)</f>
        <v/>
      </c>
      <c r="G49">
        <f>IF(E49="", "", WORKDAY(E49, F49))</f>
        <v/>
      </c>
    </row>
    <row r="50">
      <c r="F50">
        <f>IFERROR(VLOOKUP(D50, Config!A:B, 2, FALSE), 0)</f>
        <v/>
      </c>
      <c r="G50">
        <f>IF(E50="", "", WORKDAY(E50, F50))</f>
        <v/>
      </c>
    </row>
    <row r="51">
      <c r="F51">
        <f>IFERROR(VLOOKUP(D51, Config!A:B, 2, FALSE), 0)</f>
        <v/>
      </c>
      <c r="G51">
        <f>IF(E51="", "", WORKDAY(E51, F51))</f>
        <v/>
      </c>
    </row>
    <row r="52">
      <c r="F52">
        <f>IFERROR(VLOOKUP(D52, Config!A:B, 2, FALSE), 0)</f>
        <v/>
      </c>
      <c r="G52">
        <f>IF(E52="", "", WORKDAY(E52, F52))</f>
        <v/>
      </c>
    </row>
    <row r="53">
      <c r="F53">
        <f>IFERROR(VLOOKUP(D53, Config!A:B, 2, FALSE), 0)</f>
        <v/>
      </c>
      <c r="G53">
        <f>IF(E53="", "", WORKDAY(E53, F53))</f>
        <v/>
      </c>
    </row>
    <row r="54">
      <c r="F54">
        <f>IFERROR(VLOOKUP(D54, Config!A:B, 2, FALSE), 0)</f>
        <v/>
      </c>
      <c r="G54">
        <f>IF(E54="", "", WORKDAY(E54, F54))</f>
        <v/>
      </c>
    </row>
    <row r="55">
      <c r="F55">
        <f>IFERROR(VLOOKUP(D55, Config!A:B, 2, FALSE), 0)</f>
        <v/>
      </c>
      <c r="G55">
        <f>IF(E55="", "", WORKDAY(E55, F55))</f>
        <v/>
      </c>
    </row>
    <row r="56">
      <c r="F56">
        <f>IFERROR(VLOOKUP(D56, Config!A:B, 2, FALSE), 0)</f>
        <v/>
      </c>
      <c r="G56">
        <f>IF(E56="", "", WORKDAY(E56, F56))</f>
        <v/>
      </c>
    </row>
    <row r="57">
      <c r="F57">
        <f>IFERROR(VLOOKUP(D57, Config!A:B, 2, FALSE), 0)</f>
        <v/>
      </c>
      <c r="G57">
        <f>IF(E57="", "", WORKDAY(E57, F57))</f>
        <v/>
      </c>
    </row>
    <row r="58">
      <c r="F58">
        <f>IFERROR(VLOOKUP(D58, Config!A:B, 2, FALSE), 0)</f>
        <v/>
      </c>
      <c r="G58">
        <f>IF(E58="", "", WORKDAY(E58, F58))</f>
        <v/>
      </c>
    </row>
    <row r="59">
      <c r="F59">
        <f>IFERROR(VLOOKUP(D59, Config!A:B, 2, FALSE), 0)</f>
        <v/>
      </c>
      <c r="G59">
        <f>IF(E59="", "", WORKDAY(E59, F59))</f>
        <v/>
      </c>
    </row>
    <row r="60">
      <c r="F60">
        <f>IFERROR(VLOOKUP(D60, Config!A:B, 2, FALSE), 0)</f>
        <v/>
      </c>
      <c r="G60">
        <f>IF(E60="", "", WORKDAY(E60, F60))</f>
        <v/>
      </c>
    </row>
    <row r="61">
      <c r="F61">
        <f>IFERROR(VLOOKUP(D61, Config!A:B, 2, FALSE), 0)</f>
        <v/>
      </c>
      <c r="G61">
        <f>IF(E61="", "", WORKDAY(E61, F61))</f>
        <v/>
      </c>
    </row>
    <row r="62">
      <c r="F62">
        <f>IFERROR(VLOOKUP(D62, Config!A:B, 2, FALSE), 0)</f>
        <v/>
      </c>
      <c r="G62">
        <f>IF(E62="", "", WORKDAY(E62, F62))</f>
        <v/>
      </c>
    </row>
    <row r="63">
      <c r="F63">
        <f>IFERROR(VLOOKUP(D63, Config!A:B, 2, FALSE), 0)</f>
        <v/>
      </c>
      <c r="G63">
        <f>IF(E63="", "", WORKDAY(E63, F63))</f>
        <v/>
      </c>
    </row>
    <row r="64">
      <c r="F64">
        <f>IFERROR(VLOOKUP(D64, Config!A:B, 2, FALSE), 0)</f>
        <v/>
      </c>
      <c r="G64">
        <f>IF(E64="", "", WORKDAY(E64, F64))</f>
        <v/>
      </c>
    </row>
    <row r="65">
      <c r="F65">
        <f>IFERROR(VLOOKUP(D65, Config!A:B, 2, FALSE), 0)</f>
        <v/>
      </c>
      <c r="G65">
        <f>IF(E65="", "", WORKDAY(E65, F65))</f>
        <v/>
      </c>
    </row>
    <row r="66">
      <c r="F66">
        <f>IFERROR(VLOOKUP(D66, Config!A:B, 2, FALSE), 0)</f>
        <v/>
      </c>
      <c r="G66">
        <f>IF(E66="", "", WORKDAY(E66, F66))</f>
        <v/>
      </c>
    </row>
    <row r="67">
      <c r="F67">
        <f>IFERROR(VLOOKUP(D67, Config!A:B, 2, FALSE), 0)</f>
        <v/>
      </c>
      <c r="G67">
        <f>IF(E67="", "", WORKDAY(E67, F67))</f>
        <v/>
      </c>
    </row>
    <row r="68">
      <c r="F68">
        <f>IFERROR(VLOOKUP(D68, Config!A:B, 2, FALSE), 0)</f>
        <v/>
      </c>
      <c r="G68">
        <f>IF(E68="", "", WORKDAY(E68, F68))</f>
        <v/>
      </c>
    </row>
    <row r="69">
      <c r="F69">
        <f>IFERROR(VLOOKUP(D69, Config!A:B, 2, FALSE), 0)</f>
        <v/>
      </c>
      <c r="G69">
        <f>IF(E69="", "", WORKDAY(E69, F69))</f>
        <v/>
      </c>
    </row>
    <row r="70">
      <c r="F70">
        <f>IFERROR(VLOOKUP(D70, Config!A:B, 2, FALSE), 0)</f>
        <v/>
      </c>
      <c r="G70">
        <f>IF(E70="", "", WORKDAY(E70, F70))</f>
        <v/>
      </c>
    </row>
    <row r="71">
      <c r="F71">
        <f>IFERROR(VLOOKUP(D71, Config!A:B, 2, FALSE), 0)</f>
        <v/>
      </c>
      <c r="G71">
        <f>IF(E71="", "", WORKDAY(E71, F71))</f>
        <v/>
      </c>
    </row>
    <row r="72">
      <c r="F72">
        <f>IFERROR(VLOOKUP(D72, Config!A:B, 2, FALSE), 0)</f>
        <v/>
      </c>
      <c r="G72">
        <f>IF(E72="", "", WORKDAY(E72, F72))</f>
        <v/>
      </c>
    </row>
    <row r="73">
      <c r="F73">
        <f>IFERROR(VLOOKUP(D73, Config!A:B, 2, FALSE), 0)</f>
        <v/>
      </c>
      <c r="G73">
        <f>IF(E73="", "", WORKDAY(E73, F73))</f>
        <v/>
      </c>
    </row>
    <row r="74">
      <c r="F74">
        <f>IFERROR(VLOOKUP(D74, Config!A:B, 2, FALSE), 0)</f>
        <v/>
      </c>
      <c r="G74">
        <f>IF(E74="", "", WORKDAY(E74, F74))</f>
        <v/>
      </c>
    </row>
    <row r="75">
      <c r="F75">
        <f>IFERROR(VLOOKUP(D75, Config!A:B, 2, FALSE), 0)</f>
        <v/>
      </c>
      <c r="G75">
        <f>IF(E75="", "", WORKDAY(E75, F75))</f>
        <v/>
      </c>
    </row>
    <row r="76">
      <c r="F76">
        <f>IFERROR(VLOOKUP(D76, Config!A:B, 2, FALSE), 0)</f>
        <v/>
      </c>
      <c r="G76">
        <f>IF(E76="", "", WORKDAY(E76, F76))</f>
        <v/>
      </c>
    </row>
    <row r="77">
      <c r="F77">
        <f>IFERROR(VLOOKUP(D77, Config!A:B, 2, FALSE), 0)</f>
        <v/>
      </c>
      <c r="G77">
        <f>IF(E77="", "", WORKDAY(E77, F77))</f>
        <v/>
      </c>
    </row>
    <row r="78">
      <c r="F78">
        <f>IFERROR(VLOOKUP(D78, Config!A:B, 2, FALSE), 0)</f>
        <v/>
      </c>
      <c r="G78">
        <f>IF(E78="", "", WORKDAY(E78, F78))</f>
        <v/>
      </c>
    </row>
    <row r="79">
      <c r="F79">
        <f>IFERROR(VLOOKUP(D79, Config!A:B, 2, FALSE), 0)</f>
        <v/>
      </c>
      <c r="G79">
        <f>IF(E79="", "", WORKDAY(E79, F79))</f>
        <v/>
      </c>
    </row>
    <row r="80">
      <c r="F80">
        <f>IFERROR(VLOOKUP(D80, Config!A:B, 2, FALSE), 0)</f>
        <v/>
      </c>
      <c r="G80">
        <f>IF(E80="", "", WORKDAY(E80, F80))</f>
        <v/>
      </c>
    </row>
    <row r="81">
      <c r="F81">
        <f>IFERROR(VLOOKUP(D81, Config!A:B, 2, FALSE), 0)</f>
        <v/>
      </c>
      <c r="G81">
        <f>IF(E81="", "", WORKDAY(E81, F81))</f>
        <v/>
      </c>
    </row>
    <row r="82">
      <c r="F82">
        <f>IFERROR(VLOOKUP(D82, Config!A:B, 2, FALSE), 0)</f>
        <v/>
      </c>
      <c r="G82">
        <f>IF(E82="", "", WORKDAY(E82, F82))</f>
        <v/>
      </c>
    </row>
    <row r="83">
      <c r="F83">
        <f>IFERROR(VLOOKUP(D83, Config!A:B, 2, FALSE), 0)</f>
        <v/>
      </c>
      <c r="G83">
        <f>IF(E83="", "", WORKDAY(E83, F83))</f>
        <v/>
      </c>
    </row>
    <row r="84">
      <c r="F84">
        <f>IFERROR(VLOOKUP(D84, Config!A:B, 2, FALSE), 0)</f>
        <v/>
      </c>
      <c r="G84">
        <f>IF(E84="", "", WORKDAY(E84, F84))</f>
        <v/>
      </c>
    </row>
    <row r="85">
      <c r="F85">
        <f>IFERROR(VLOOKUP(D85, Config!A:B, 2, FALSE), 0)</f>
        <v/>
      </c>
      <c r="G85">
        <f>IF(E85="", "", WORKDAY(E85, F85))</f>
        <v/>
      </c>
    </row>
    <row r="86">
      <c r="F86">
        <f>IFERROR(VLOOKUP(D86, Config!A:B, 2, FALSE), 0)</f>
        <v/>
      </c>
      <c r="G86">
        <f>IF(E86="", "", WORKDAY(E86, F86))</f>
        <v/>
      </c>
    </row>
    <row r="87">
      <c r="F87">
        <f>IFERROR(VLOOKUP(D87, Config!A:B, 2, FALSE), 0)</f>
        <v/>
      </c>
      <c r="G87">
        <f>IF(E87="", "", WORKDAY(E87, F87))</f>
        <v/>
      </c>
    </row>
    <row r="88">
      <c r="F88">
        <f>IFERROR(VLOOKUP(D88, Config!A:B, 2, FALSE), 0)</f>
        <v/>
      </c>
      <c r="G88">
        <f>IF(E88="", "", WORKDAY(E88, F88))</f>
        <v/>
      </c>
    </row>
    <row r="89">
      <c r="F89">
        <f>IFERROR(VLOOKUP(D89, Config!A:B, 2, FALSE), 0)</f>
        <v/>
      </c>
      <c r="G89">
        <f>IF(E89="", "", WORKDAY(E89, F89))</f>
        <v/>
      </c>
    </row>
    <row r="90">
      <c r="F90">
        <f>IFERROR(VLOOKUP(D90, Config!A:B, 2, FALSE), 0)</f>
        <v/>
      </c>
      <c r="G90">
        <f>IF(E90="", "", WORKDAY(E90, F90))</f>
        <v/>
      </c>
    </row>
    <row r="91">
      <c r="F91">
        <f>IFERROR(VLOOKUP(D91, Config!A:B, 2, FALSE), 0)</f>
        <v/>
      </c>
      <c r="G91">
        <f>IF(E91="", "", WORKDAY(E91, F91))</f>
        <v/>
      </c>
    </row>
    <row r="92">
      <c r="F92">
        <f>IFERROR(VLOOKUP(D92, Config!A:B, 2, FALSE), 0)</f>
        <v/>
      </c>
      <c r="G92">
        <f>IF(E92="", "", WORKDAY(E92, F92))</f>
        <v/>
      </c>
    </row>
    <row r="93">
      <c r="F93">
        <f>IFERROR(VLOOKUP(D93, Config!A:B, 2, FALSE), 0)</f>
        <v/>
      </c>
      <c r="G93">
        <f>IF(E93="", "", WORKDAY(E93, F93))</f>
        <v/>
      </c>
    </row>
    <row r="94">
      <c r="F94">
        <f>IFERROR(VLOOKUP(D94, Config!A:B, 2, FALSE), 0)</f>
        <v/>
      </c>
      <c r="G94">
        <f>IF(E94="", "", WORKDAY(E94, F94))</f>
        <v/>
      </c>
    </row>
    <row r="95">
      <c r="F95">
        <f>IFERROR(VLOOKUP(D95, Config!A:B, 2, FALSE), 0)</f>
        <v/>
      </c>
      <c r="G95">
        <f>IF(E95="", "", WORKDAY(E95, F95))</f>
        <v/>
      </c>
    </row>
    <row r="96">
      <c r="F96">
        <f>IFERROR(VLOOKUP(D96, Config!A:B, 2, FALSE), 0)</f>
        <v/>
      </c>
      <c r="G96">
        <f>IF(E96="", "", WORKDAY(E96, F96))</f>
        <v/>
      </c>
    </row>
    <row r="97">
      <c r="F97">
        <f>IFERROR(VLOOKUP(D97, Config!A:B, 2, FALSE), 0)</f>
        <v/>
      </c>
      <c r="G97">
        <f>IF(E97="", "", WORKDAY(E97, F97))</f>
        <v/>
      </c>
    </row>
    <row r="98">
      <c r="F98">
        <f>IFERROR(VLOOKUP(D98, Config!A:B, 2, FALSE), 0)</f>
        <v/>
      </c>
      <c r="G98">
        <f>IF(E98="", "", WORKDAY(E98, F98))</f>
        <v/>
      </c>
    </row>
    <row r="99">
      <c r="F99">
        <f>IFERROR(VLOOKUP(D99, Config!A:B, 2, FALSE), 0)</f>
        <v/>
      </c>
      <c r="G99">
        <f>IF(E99="", "", WORKDAY(E99, F99))</f>
        <v/>
      </c>
    </row>
    <row r="100">
      <c r="F100">
        <f>IFERROR(VLOOKUP(D100, Config!A:B, 2, FALSE), 0)</f>
        <v/>
      </c>
      <c r="G100">
        <f>IF(E100="", "", WORKDAY(E100, F100))</f>
        <v/>
      </c>
    </row>
  </sheetData>
  <dataValidations count="2">
    <dataValidation sqref="D2:D1000" showDropDown="1" showInputMessage="0" showErrorMessage="0" allowBlank="0" type="list">
      <formula1>"Baixa,Média,Alta"</formula1>
    </dataValidation>
    <dataValidation sqref="H2:H1000" showDropDown="1" showInputMessage="0" showErrorMessage="0" allowBlank="0" type="list">
      <formula1>"Pendente,Em Andamento,Finalizada"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Cliente</t>
        </is>
      </c>
      <c r="C1" s="4" t="inlineStr">
        <is>
          <t>Tipo de Ação</t>
        </is>
      </c>
      <c r="D1" s="4" t="inlineStr">
        <is>
          <t>Complexidade</t>
        </is>
      </c>
      <c r="E1" s="4" t="inlineStr">
        <is>
          <t>Data Envio Doc</t>
        </is>
      </c>
      <c r="F1" s="4" t="inlineStr">
        <is>
          <t>Prazo (Dias)</t>
        </is>
      </c>
      <c r="G1" s="4" t="inlineStr">
        <is>
          <t>Prazo Fatal</t>
        </is>
      </c>
      <c r="H1" s="4" t="inlineStr">
        <is>
          <t>Status</t>
        </is>
      </c>
      <c r="I1" s="4" t="inlineStr">
        <is>
          <t>Data Protocolo</t>
        </is>
      </c>
      <c r="J1" s="4" t="inlineStr">
        <is>
          <t>Advogado Responsável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2026-02-08T22:00:44Z</dcterms:created>
  <dcterms:modified xsi:type="dcterms:W3CDTF">2026-02-08T22:00:44Z</dcterms:modified>
</cp:coreProperties>
</file>